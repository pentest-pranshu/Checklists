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nshu.tiwari.AMPCYBER\Desktop\"/>
    </mc:Choice>
  </mc:AlternateContent>
  <xr:revisionPtr revIDLastSave="0" documentId="13_ncr:1_{9ABD8BC9-6392-4536-9500-B8597A59344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" sheetId="1" r:id="rId1"/>
    <sheet name="Android" sheetId="2" r:id="rId2"/>
    <sheet name="iOS" sheetId="3" r:id="rId3"/>
  </sheets>
  <definedNames>
    <definedName name="_xlnm._FilterDatabase" localSheetId="1" hidden="1">Android!$A$1:$K$124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5" i="1"/>
  <c r="B14" i="1"/>
  <c r="B13" i="1"/>
  <c r="B12" i="1"/>
  <c r="B11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<sst xmlns="http://schemas.openxmlformats.org/spreadsheetml/2006/main" count="2577" uniqueCount="1120">
  <si>
    <t>Android Security Testing - Enhanced Summary</t>
  </si>
  <si>
    <t>Severity Distribution</t>
  </si>
  <si>
    <t>Count</t>
  </si>
  <si>
    <t>Critical</t>
  </si>
  <si>
    <t>High</t>
  </si>
  <si>
    <t>Medium</t>
  </si>
  <si>
    <t>Low</t>
  </si>
  <si>
    <t>Total Tests</t>
  </si>
  <si>
    <t>Testing Phase</t>
  </si>
  <si>
    <t>Static</t>
  </si>
  <si>
    <t>Dynamic</t>
  </si>
  <si>
    <t>Network</t>
  </si>
  <si>
    <t>Exploitation</t>
  </si>
  <si>
    <t>Mixed</t>
  </si>
  <si>
    <t>CVSS Score Range</t>
  </si>
  <si>
    <t>Critical (9.0-10.0)</t>
  </si>
  <si>
    <t>High (7.0-8.9)</t>
  </si>
  <si>
    <t>Medium (4.0-6.9)</t>
  </si>
  <si>
    <t>Low (0.1-3.9)</t>
  </si>
  <si>
    <t>Informational (0.0)</t>
  </si>
  <si>
    <t>ID</t>
  </si>
  <si>
    <t>Test Case</t>
  </si>
  <si>
    <t>Category</t>
  </si>
  <si>
    <t>Severity</t>
  </si>
  <si>
    <t>Phase</t>
  </si>
  <si>
    <t>Tools</t>
  </si>
  <si>
    <t>Notes</t>
  </si>
  <si>
    <t>Required Tools</t>
  </si>
  <si>
    <t>Command/Steps</t>
  </si>
  <si>
    <t>OWASP Category</t>
  </si>
  <si>
    <t>CVSS Score</t>
  </si>
  <si>
    <t>Application Package Name</t>
  </si>
  <si>
    <t>App Metadata</t>
  </si>
  <si>
    <t>aapt, apktool</t>
  </si>
  <si>
    <t>Inspect AndroidManifest.xml</t>
  </si>
  <si>
    <t>aapt/apktool</t>
  </si>
  <si>
    <t>aapt dump badging app.apk | grep package</t>
  </si>
  <si>
    <t>A06:2021 - Vulnerable Components</t>
  </si>
  <si>
    <t>0.0</t>
  </si>
  <si>
    <t>Decompile APK (dex to smali/java)</t>
  </si>
  <si>
    <t>Reverse Engineering</t>
  </si>
  <si>
    <t>jadx, jadx-gui, apktool, dex2jar</t>
  </si>
  <si>
    <t>Extract and analyze source code</t>
  </si>
  <si>
    <t>jadx-gui, apktool</t>
  </si>
  <si>
    <t>jadx -d output_dir app.apk
apktool d app.apk -o output/</t>
  </si>
  <si>
    <t>M7 - Reverse Engineering</t>
  </si>
  <si>
    <t>5.3</t>
  </si>
  <si>
    <t>APK Signature - Weak Algorithm Check</t>
  </si>
  <si>
    <t>Build/Crypto</t>
  </si>
  <si>
    <t>apksigner, jarsigner</t>
  </si>
  <si>
    <t>Check for SHA1withRSA or weak signatures</t>
  </si>
  <si>
    <t>apksigner verify --print-certs app.apk
jarsigner -verify -verbose -certs app.apk</t>
  </si>
  <si>
    <t>A02:2021 - Cryptographic Failures</t>
  </si>
  <si>
    <t>7.5</t>
  </si>
  <si>
    <t>Code Obfuscation Analysis</t>
  </si>
  <si>
    <t>Build</t>
  </si>
  <si>
    <t>jadx, jadx-gui, ProGuard analyzer</t>
  </si>
  <si>
    <t>Check for none/partial obfuscation</t>
  </si>
  <si>
    <t>jadx-gui</t>
  </si>
  <si>
    <t>jadx -d output_dir app.apk
Analyze class/method names for obfuscation</t>
  </si>
  <si>
    <t>4.3</t>
  </si>
  <si>
    <t>Scan APK for URIs, Endpoints &amp; Secrets</t>
  </si>
  <si>
    <t>Secrets</t>
  </si>
  <si>
    <t>MobSF, StaCoAn, grep, strings</t>
  </si>
  <si>
    <t>Extract URLs, API keys, hardcoded secrets</t>
  </si>
  <si>
    <t>MobSF, grep, strings</t>
  </si>
  <si>
    <t>strings app.apk | grep -E '(http|https|api)'
grep -rE 'api_key|secret' .</t>
  </si>
  <si>
    <t>A07:2021 - ID &amp; Auth Failures</t>
  </si>
  <si>
    <t>Hard-coded Credentials Detection</t>
  </si>
  <si>
    <t>jadx, grep, MobSF</t>
  </si>
  <si>
    <t>Search for passwords, tokens in source</t>
  </si>
  <si>
    <t>jadx, grep</t>
  </si>
  <si>
    <t>jadx -d output app.apk
grep -rE 'password|pwd|token|secret' output/</t>
  </si>
  <si>
    <t>9.8</t>
  </si>
  <si>
    <t>API Keys Detection (GMaps, Firebase, Others)</t>
  </si>
  <si>
    <t>grep, strings, AndroidManifest.xml</t>
  </si>
  <si>
    <t>Verify key scope and permissions</t>
  </si>
  <si>
    <t>grep, strings</t>
  </si>
  <si>
    <t>grep -rE 'AIza[0-9A-Za-z_-]{35}' .
grep -r 'api_key' res/values/</t>
  </si>
  <si>
    <t>A05:2021 - Security Misconfiguration</t>
  </si>
  <si>
    <t>Database Structure Disclosure Check</t>
  </si>
  <si>
    <t>Check if DB schema exposed in code</t>
  </si>
  <si>
    <t>jadx -d output app.apk
grep -rE 'CREATE TABLE|INSERT INTO' output/</t>
  </si>
  <si>
    <t>A01:2021 - Broken Access Control</t>
  </si>
  <si>
    <t>Debuggable Flag Check (android:debuggable)</t>
  </si>
  <si>
    <t>Build/Permission</t>
  </si>
  <si>
    <t>aapt, AndroidManifest.xml parser</t>
  </si>
  <si>
    <t>Check debuggable=true in manifest</t>
  </si>
  <si>
    <t>apktool d app.apk
grep 'android:debuggable="true"' AndroidManifest.xml</t>
  </si>
  <si>
    <t>6.5</t>
  </si>
  <si>
    <t>Backup Allowed Check (android:allowBackup)</t>
  </si>
  <si>
    <t>Check allowBackup=true</t>
  </si>
  <si>
    <t>aapt, adb</t>
  </si>
  <si>
    <t>grep 'allowBackup="true"' AndroidManifest.xml
adb backup -f backup.ab com.package</t>
  </si>
  <si>
    <t>Exported Components Analysis</t>
  </si>
  <si>
    <t>Components</t>
  </si>
  <si>
    <t>Check exported Content Providers, Activities, Services</t>
  </si>
  <si>
    <t>aapt, drozer</t>
  </si>
  <si>
    <t>aapt dump xmltree app.apk AndroidManifest.xml
drozer run app.package.attacksurface com.package</t>
  </si>
  <si>
    <t>M1 - Improper Platform Usage</t>
  </si>
  <si>
    <t>8.1</t>
  </si>
  <si>
    <t>Component Permissions Analysis</t>
  </si>
  <si>
    <t>AndroidManifest.xml</t>
  </si>
  <si>
    <t>Analyze component permissions</t>
  </si>
  <si>
    <t>aapt</t>
  </si>
  <si>
    <t>aapt dump permissions app.apk</t>
  </si>
  <si>
    <t>AndroidManifest.xml Deep Inspection</t>
  </si>
  <si>
    <t>aapt, manual review</t>
  </si>
  <si>
    <t>Review permissions, components, intent filters</t>
  </si>
  <si>
    <t>aapt dump xmltree app.apk AndroidManifest.xml</t>
  </si>
  <si>
    <t>Dangerous Permissions Check</t>
  </si>
  <si>
    <t>Permissions</t>
  </si>
  <si>
    <t>Identify dangerous permission requests</t>
  </si>
  <si>
    <t>aapt dump permissions app.apk | grep 'uses-permission'</t>
  </si>
  <si>
    <t>Minimum/Maximum SDK Version Check</t>
  </si>
  <si>
    <t>aapt, AndroidManifest.xml</t>
  </si>
  <si>
    <t>Check version compatibility</t>
  </si>
  <si>
    <t>aapt dump badging app.apk | grep 'sdkVersion'</t>
  </si>
  <si>
    <t>Network Security Config Analysis</t>
  </si>
  <si>
    <t>AndroidManifest.xml, network_security_config.xml</t>
  </si>
  <si>
    <t>Check cleartext traffic settings</t>
  </si>
  <si>
    <t>apktool, grep</t>
  </si>
  <si>
    <t>apktool d app.apk
cat res/xml/network_security_config.xml</t>
  </si>
  <si>
    <t>M3 - Insecure Communication</t>
  </si>
  <si>
    <t>7.4</t>
  </si>
  <si>
    <t>Sensitive Data in shared_prefs</t>
  </si>
  <si>
    <t>Sensitive Storage</t>
  </si>
  <si>
    <t>Static/Dynamic</t>
  </si>
  <si>
    <t>adb, root explorer, grep</t>
  </si>
  <si>
    <t>Inspect XML files in shared_prefs</t>
  </si>
  <si>
    <t>adb, root</t>
  </si>
  <si>
    <t>adb shell
run-as com.package
cat shared_prefs/*.xml</t>
  </si>
  <si>
    <t>M2 - Insecure Data Storage</t>
  </si>
  <si>
    <t>Unencrypted Database Files</t>
  </si>
  <si>
    <t>Storage</t>
  </si>
  <si>
    <t>adb, SQLite browser</t>
  </si>
  <si>
    <t>Check /data/data/&lt;pkg&gt;/databases/</t>
  </si>
  <si>
    <t>adb, sqlite3</t>
  </si>
  <si>
    <t>adb shell run-as com.package
sqlite3 databases/app.db '.dump'</t>
  </si>
  <si>
    <t>Sensitive Data in Local Storage</t>
  </si>
  <si>
    <t>adb, file explorer</t>
  </si>
  <si>
    <t>Check internal storage files</t>
  </si>
  <si>
    <t>adb</t>
  </si>
  <si>
    <t>adb shell run-as com.package
ls -la files/
cat files/*</t>
  </si>
  <si>
    <t>Sensitive Data in SD Card</t>
  </si>
  <si>
    <t>Check external storage usage</t>
  </si>
  <si>
    <t>adb shell
ls -la /sdcard/Android/data/com.package/</t>
  </si>
  <si>
    <t>Sensitive Data in Temp/Cache Files</t>
  </si>
  <si>
    <t>adb pull, file analysis</t>
  </si>
  <si>
    <t>Inspect cache and temp directories</t>
  </si>
  <si>
    <t>adb shell run-as com.package
ls -la cache/
cat cache/*</t>
  </si>
  <si>
    <t>Information Disclosure via Logcat</t>
  </si>
  <si>
    <t>Logging</t>
  </si>
  <si>
    <t>adb logcat, pidcat</t>
  </si>
  <si>
    <t>Monitor logs for sensitive data</t>
  </si>
  <si>
    <t>adb, pidcat</t>
  </si>
  <si>
    <t>adb logcat | grep -i 'password\|token\|api'
pidcat com.package</t>
  </si>
  <si>
    <t>Copy/Paste Buffer Caching</t>
  </si>
  <si>
    <t>Privacy</t>
  </si>
  <si>
    <t>Clipboard monitor, manual testing</t>
  </si>
  <si>
    <t>Test clipboard data leakage</t>
  </si>
  <si>
    <t>adb, ClipboardManager</t>
  </si>
  <si>
    <t>adb shell service call clipboard 1
Monitor clipboard for sensitive data</t>
  </si>
  <si>
    <t>Persistent Authentication Check</t>
  </si>
  <si>
    <t>Auth</t>
  </si>
  <si>
    <t>Manual testing, proxy</t>
  </si>
  <si>
    <t>Test Remember Me functionality</t>
  </si>
  <si>
    <t>Burp Suite, Manual</t>
  </si>
  <si>
    <t>Test authentication persistence
Check token storage and expiration</t>
  </si>
  <si>
    <t>Client-Side Authentication/Authorization</t>
  </si>
  <si>
    <t>Proxy (Burp, mitmproxy), manual testing</t>
  </si>
  <si>
    <t>Attempt to bypass auth logic</t>
  </si>
  <si>
    <t>Burp Suite, mitmproxy</t>
  </si>
  <si>
    <t>Intercept requests
Modify auth tokens/parameters
Replay requests</t>
  </si>
  <si>
    <t>Session Management - Backend Invalidation</t>
  </si>
  <si>
    <t>Proxy, manual testing</t>
  </si>
  <si>
    <t>Test logout and session invalidation</t>
  </si>
  <si>
    <t>Burp Suite</t>
  </si>
  <si>
    <t>Logout and reuse session tokens
Check for proper invalidation</t>
  </si>
  <si>
    <t>Token Creation and Rotation</t>
  </si>
  <si>
    <t>Proxy, JWT decoder</t>
  </si>
  <si>
    <t>Inspect token lifecycle</t>
  </si>
  <si>
    <t>Burp Suite, jwt.io</t>
  </si>
  <si>
    <t>Decode JWT tokens
Check expiration and rotation policies</t>
  </si>
  <si>
    <t>Biometric Authentication Bypass</t>
  </si>
  <si>
    <t>Frida, runtime manipulation</t>
  </si>
  <si>
    <t>Attempt to bypass biometric checks</t>
  </si>
  <si>
    <t>Frida, Objection</t>
  </si>
  <si>
    <t>frida -U -f com.package -l biometric_bypass.js
Hook BiometricPrompt callbacks</t>
  </si>
  <si>
    <t>PIN Authentication Bypass</t>
  </si>
  <si>
    <t>Frida, smali patching</t>
  </si>
  <si>
    <t>Attempt to bypass PIN validation</t>
  </si>
  <si>
    <t>Frida, apktool</t>
  </si>
  <si>
    <t>Hook PIN validation methods
Modify return values to bypass check</t>
  </si>
  <si>
    <t>Root Detection Implementation Check</t>
  </si>
  <si>
    <t>Security Controls</t>
  </si>
  <si>
    <t>Rooted device, Magisk Hide</t>
  </si>
  <si>
    <t>Test on rooted device</t>
  </si>
  <si>
    <t>Rooted device</t>
  </si>
  <si>
    <t>Test app on rooted device
Check for root detection mechanisms</t>
  </si>
  <si>
    <t>M8 - Code Tampering</t>
  </si>
  <si>
    <t>Root Detection Bypass</t>
  </si>
  <si>
    <t>Frida, Magisk, smali patching</t>
  </si>
  <si>
    <t>Attempt to bypass root checks</t>
  </si>
  <si>
    <t>Frida, Magisk</t>
  </si>
  <si>
    <t>frida -U -f com.package -l root_bypass.js
Use Magisk Hide</t>
  </si>
  <si>
    <t>Emulator Detection Check</t>
  </si>
  <si>
    <t>Emulator testing</t>
  </si>
  <si>
    <t>Run on Android emulator</t>
  </si>
  <si>
    <t>Android Emulator</t>
  </si>
  <si>
    <t>Run app on emulator
Check for emulator detection</t>
  </si>
  <si>
    <t>Emulator Detection Bypass</t>
  </si>
  <si>
    <t>Emulator property modification</t>
  </si>
  <si>
    <t>Bypass emulator detection</t>
  </si>
  <si>
    <t>adb, Frida</t>
  </si>
  <si>
    <t>Modify emulator properties
Hook detection methods with Frida</t>
  </si>
  <si>
    <t>SSL Pinning Implementation Check</t>
  </si>
  <si>
    <t>Static/Network</t>
  </si>
  <si>
    <t>jadx, okhttp inspection</t>
  </si>
  <si>
    <t>Check for certificate pinning</t>
  </si>
  <si>
    <t>Search for CertificatePinner, TrustManager in code</t>
  </si>
  <si>
    <t>SSL Pinning Bypass</t>
  </si>
  <si>
    <t>Frida, Objection, SSL Kill Switch</t>
  </si>
  <si>
    <t>Attempt to bypass pinning</t>
  </si>
  <si>
    <t>objection -g com.package explore
android sslpinning disable</t>
  </si>
  <si>
    <t>Man-in-the-Middle (MITM) Attack Test</t>
  </si>
  <si>
    <t>Burp Suite, mitmproxy, Charles Proxy</t>
  </si>
  <si>
    <t>Intercept HTTPS traffic</t>
  </si>
  <si>
    <t>Setup proxy
Install CA cert
Intercept HTTPS traffic</t>
  </si>
  <si>
    <t>HTTP Cleartext Traffic Check</t>
  </si>
  <si>
    <t>Wireshark, tcpdump, proxy</t>
  </si>
  <si>
    <t>Monitor for unencrypted traffic</t>
  </si>
  <si>
    <t>Wireshark, tcpdump</t>
  </si>
  <si>
    <t>tcpdump -i any -w capture.pcap port 80
wireshark capture.pcap</t>
  </si>
  <si>
    <t>TLS Version and Cipher Strength</t>
  </si>
  <si>
    <t>sslscan, sslyze, testssl.sh</t>
  </si>
  <si>
    <t>Check TLS version &lt; 1.2</t>
  </si>
  <si>
    <t>sslscan, sslyze</t>
  </si>
  <si>
    <t>sslscan api.example.com
sslyze --regular api.example.com</t>
  </si>
  <si>
    <t>Certificate Validation Bypass Check</t>
  </si>
  <si>
    <t>Static/Runtime</t>
  </si>
  <si>
    <t>jadx, grep for TrustManager</t>
  </si>
  <si>
    <t>Search for custom TrustManager</t>
  </si>
  <si>
    <t>grep -r 'TrustManager\|X509TrustManager' output/</t>
  </si>
  <si>
    <t>Self-Signed Certificate Acceptance</t>
  </si>
  <si>
    <t>Proxy with self-signed cert</t>
  </si>
  <si>
    <t>Test certificate validation</t>
  </si>
  <si>
    <t>Use self-signed cert in proxy
Check if app accepts it</t>
  </si>
  <si>
    <t>Weak Cryptography in Code</t>
  </si>
  <si>
    <t>Crypto</t>
  </si>
  <si>
    <t>Look for weak algorithms (MD5, DES)</t>
  </si>
  <si>
    <t>grep -rE 'MD5|DES|RC4' output/
Search for getInstance() calls</t>
  </si>
  <si>
    <t>Poor Key Management</t>
  </si>
  <si>
    <t>jadx, grep for keys</t>
  </si>
  <si>
    <t>Check hardcoded encryption keys</t>
  </si>
  <si>
    <t>grep -rE 'AES|RSA.*key|SecretKey' output/
Search for hardcoded byte arrays</t>
  </si>
  <si>
    <t>9.1</t>
  </si>
  <si>
    <t>AES Encryption Implementation Review</t>
  </si>
  <si>
    <t>jadx, code review</t>
  </si>
  <si>
    <t>Check AES mode and padding</t>
  </si>
  <si>
    <t>jadx</t>
  </si>
  <si>
    <t>Search for AES usage
Check for ECB mode (insecure)</t>
  </si>
  <si>
    <t>Backup File Restrictions Check</t>
  </si>
  <si>
    <t>Backup</t>
  </si>
  <si>
    <t>adb backup, analysis</t>
  </si>
  <si>
    <t>Test backup file contents</t>
  </si>
  <si>
    <t>adb backup -f backup.ab -apk com.package
dd if=backup.ab bs=24 skip=1 | openssl zlib -d &gt; backup.tar</t>
  </si>
  <si>
    <t>Device Identifiers Exposure</t>
  </si>
  <si>
    <t>grep for IMEI/ANDROID_ID, network monitor</t>
  </si>
  <si>
    <t>Check for device ID leakage</t>
  </si>
  <si>
    <t>jadx, proxy</t>
  </si>
  <si>
    <t>grep -rE 'IMEI|ANDROID_ID|getDeviceId' output/
Monitor network traffic</t>
  </si>
  <si>
    <t>Screenshot Capture in App Switching</t>
  </si>
  <si>
    <t>Recent apps screen capture</t>
  </si>
  <si>
    <t>Test FLAG_SECURE implementation</t>
  </si>
  <si>
    <t>Manual testing</t>
  </si>
  <si>
    <t>Open sensitive screen
Switch apps
Check recent apps screenshot</t>
  </si>
  <si>
    <t>Application Backgrounding Security</t>
  </si>
  <si>
    <t>Check sensitive data masking</t>
  </si>
  <si>
    <t>Background app with sensitive data visible
Check task switcher</t>
  </si>
  <si>
    <t>Input Validation on API</t>
  </si>
  <si>
    <t>API</t>
  </si>
  <si>
    <t>Burp Suite, OWASP ZAP, manual testing</t>
  </si>
  <si>
    <t>Test for injection flaws</t>
  </si>
  <si>
    <t>Burp Suite, ZAP</t>
  </si>
  <si>
    <t>Fuzz API parameters
Test for SQL injection, XSS, command injection</t>
  </si>
  <si>
    <t>A03:2021 - Injection</t>
  </si>
  <si>
    <t>Information Exposure in API Responses</t>
  </si>
  <si>
    <t>Proxy, response analysis</t>
  </si>
  <si>
    <t>Check for excessive data exposure</t>
  </si>
  <si>
    <t>Intercept API responses
Check for sensitive data in responses</t>
  </si>
  <si>
    <t>Business Logic Flaws</t>
  </si>
  <si>
    <t>Business Logic</t>
  </si>
  <si>
    <t>Dynamic/Exploitation</t>
  </si>
  <si>
    <t>Manual testing, logic analysis</t>
  </si>
  <si>
    <t>Test workflow bypasses</t>
  </si>
  <si>
    <t>Manual testing, Burp</t>
  </si>
  <si>
    <t>Test payment flows
Price manipulation
Workflow sequence bypass</t>
  </si>
  <si>
    <t>A04:2021 - Insecure Design</t>
  </si>
  <si>
    <t>8.2</t>
  </si>
  <si>
    <t>Session Timeout Protection</t>
  </si>
  <si>
    <t>Manual testing, time-based tests</t>
  </si>
  <si>
    <t>Verify session expiration</t>
  </si>
  <si>
    <t>Login and wait
Test session timeout
Check idle timeout</t>
  </si>
  <si>
    <t>Cookie Security Analysis</t>
  </si>
  <si>
    <t>Proxy, cookie inspection</t>
  </si>
  <si>
    <t>Check HttpOnly, Secure flags</t>
  </si>
  <si>
    <t>Inspect cookies
Check for HttpOnly, Secure, SameSite flags</t>
  </si>
  <si>
    <t>Automated Vulnerability Scanning</t>
  </si>
  <si>
    <t>Automation</t>
  </si>
  <si>
    <t>MobSF, QARK, AndroBugs</t>
  </si>
  <si>
    <t>Automated static analysis</t>
  </si>
  <si>
    <t>MobSF</t>
  </si>
  <si>
    <t>Upload APK to MobSF
Run automated scan
Review findings</t>
  </si>
  <si>
    <t>Various</t>
  </si>
  <si>
    <t>Varies</t>
  </si>
  <si>
    <t>Content Provider SQL Injection</t>
  </si>
  <si>
    <t>Injection</t>
  </si>
  <si>
    <t>adb, drozer, SQL payloads</t>
  </si>
  <si>
    <t>Test content:// URIs with SQLi</t>
  </si>
  <si>
    <t>drozer, adb</t>
  </si>
  <si>
    <t>drozer run scanner.provider.injection -a com.package
adb shell content query --uri content://... --where "1' OR '1'='1"</t>
  </si>
  <si>
    <t>Content Provider Path Traversal</t>
  </si>
  <si>
    <t>Path Traversal</t>
  </si>
  <si>
    <t>adb, drozer, traversal payloads</t>
  </si>
  <si>
    <t>Test ../ sequences in paths</t>
  </si>
  <si>
    <t>drozer run scanner.provider.traversal -a com.package
Test with ../../ payloads</t>
  </si>
  <si>
    <t>8.6</t>
  </si>
  <si>
    <t>Protected Activity Invocation via ADB</t>
  </si>
  <si>
    <t>IPC</t>
  </si>
  <si>
    <t>adb shell am, drozer</t>
  </si>
  <si>
    <t>Invoke exported activities directly</t>
  </si>
  <si>
    <t>adb, drozer</t>
  </si>
  <si>
    <t>adb shell am start -n com.package/.ActivityName
drozer run app.activity.start --component com.package .Activity</t>
  </si>
  <si>
    <t>Protected Content Provider Access</t>
  </si>
  <si>
    <t>adb shell content query, drozer</t>
  </si>
  <si>
    <t>Query protected providers</t>
  </si>
  <si>
    <t>adb shell content query --uri content://com.package.provider/table
drozer run app.provider.query content://...</t>
  </si>
  <si>
    <t>Intent Sniffing via Activity Manager</t>
  </si>
  <si>
    <t>adb shell dumpsys activity, logcat</t>
  </si>
  <si>
    <t>Monitor intent broadcasts</t>
  </si>
  <si>
    <t>adb shell dumpsys activity broadcasts
adb logcat | grep -i intent</t>
  </si>
  <si>
    <t>Data Extraction from Content Providers</t>
  </si>
  <si>
    <t>adb shell content, drozer</t>
  </si>
  <si>
    <t>Extract data via content://</t>
  </si>
  <si>
    <t>adb shell content query --uri content://provider/table
drozer run app.provider.read content://...</t>
  </si>
  <si>
    <t>Data Insertion into Content Providers</t>
  </si>
  <si>
    <t>adb shell content insert, drozer</t>
  </si>
  <si>
    <t>Insert malicious data</t>
  </si>
  <si>
    <t>adb shell content insert --uri content://... --bind key:s:value
drozer run app.provider.insert</t>
  </si>
  <si>
    <t>Tapjacking/UI Redressing Attack</t>
  </si>
  <si>
    <t>UI</t>
  </si>
  <si>
    <t>Custom overlay app</t>
  </si>
  <si>
    <t>Test clickjacking protection</t>
  </si>
  <si>
    <t>Custom app, adb</t>
  </si>
  <si>
    <t>Create overlay app
Test if sensitive actions can be hijacked</t>
  </si>
  <si>
    <t>6.1</t>
  </si>
  <si>
    <t>WebView XSS Testing</t>
  </si>
  <si>
    <t>WebView</t>
  </si>
  <si>
    <t>Manual XSS payloads, ZAP</t>
  </si>
  <si>
    <t>Check JS enabled and XSS filters</t>
  </si>
  <si>
    <t>Test setJavaScriptEnabled(true)
Inject XSS payloads into WebView</t>
  </si>
  <si>
    <t>7.2</t>
  </si>
  <si>
    <t>WebView File Access Scheme</t>
  </si>
  <si>
    <t>file:// URL testing</t>
  </si>
  <si>
    <t>Test setAllowFileAccess settings</t>
  </si>
  <si>
    <t>Test file:// URLs in WebView
Check setAllowFileAccess configuration</t>
  </si>
  <si>
    <t>Local File Inclusion via WebView</t>
  </si>
  <si>
    <t>file:// and content:// testing</t>
  </si>
  <si>
    <t>Test WebView file handling</t>
  </si>
  <si>
    <t>Load file:///data/data/com.package/...
Test content:// URI access</t>
  </si>
  <si>
    <t>SQLite Injection Testing</t>
  </si>
  <si>
    <t>SQLi payloads, manual testing</t>
  </si>
  <si>
    <t>Test raw SQL queries</t>
  </si>
  <si>
    <t>Test input fields with SQL payloads
' OR '1'='1
1' UNION SELECT</t>
  </si>
  <si>
    <t>XML Injection Testing</t>
  </si>
  <si>
    <t>XXE payloads, XML bombs</t>
  </si>
  <si>
    <t>Test XML parsers</t>
  </si>
  <si>
    <t>Test XXE payloads
&lt;!DOCTYPE foo [&lt;!ENTITY xxe SYSTEM "file:///etc/passwd"&gt;]&gt;</t>
  </si>
  <si>
    <t>Deep Link Fuzzing</t>
  </si>
  <si>
    <t>IPC/Deeplinks</t>
  </si>
  <si>
    <t>Intent fuzzing tools, manual URLs</t>
  </si>
  <si>
    <t>Test URL scheme handlers</t>
  </si>
  <si>
    <t>adb, Manual</t>
  </si>
  <si>
    <t>adb shell am start -a android.intent.action.VIEW -d "scheme://host/path?param=value"
Fuzz parameters</t>
  </si>
  <si>
    <t>Deep Link Implementation Check</t>
  </si>
  <si>
    <t>Behavior</t>
  </si>
  <si>
    <t>AndroidManifest.xml, intent-filter</t>
  </si>
  <si>
    <t>Identify deep link schemes</t>
  </si>
  <si>
    <t>grep -A5 'intent-filter' AndroidManifest.xml
Look for android.intent.action.VIEW</t>
  </si>
  <si>
    <t>WebView Usage Analysis</t>
  </si>
  <si>
    <t>jadx, grep for WebView</t>
  </si>
  <si>
    <t>Identify WebView implementations</t>
  </si>
  <si>
    <t>grep -r 'WebView\|loadUrl' output/</t>
  </si>
  <si>
    <t>APK Repackaging and Signing</t>
  </si>
  <si>
    <t>Tampering</t>
  </si>
  <si>
    <t>apktool, jarsigner, uber-apk-signer</t>
  </si>
  <si>
    <t>Test integrity checks</t>
  </si>
  <si>
    <t>apktool, jarsigner</t>
  </si>
  <si>
    <t>apktool d app.apk
# Modify code
apktool b app/ -o modified.apk
jarsigner -keystore key.jks modified.apk</t>
  </si>
  <si>
    <t>Unauthorized Code Modification</t>
  </si>
  <si>
    <t>apktool, smali modification</t>
  </si>
  <si>
    <t>Modify and repack APK</t>
  </si>
  <si>
    <t>apktool, smali</t>
  </si>
  <si>
    <t>apktool d app.apk
Modify smali files
apktool b app/</t>
  </si>
  <si>
    <t>Race Condition Exploitation</t>
  </si>
  <si>
    <t>Race Condition</t>
  </si>
  <si>
    <t>Stress testing, concurrent requests</t>
  </si>
  <si>
    <t>Test TOCTOU vulnerabilities</t>
  </si>
  <si>
    <t>Custom scripts</t>
  </si>
  <si>
    <t>Send concurrent requests
Test file operations for race conditions</t>
  </si>
  <si>
    <t>6.3</t>
  </si>
  <si>
    <t>Stack Memory Corruption</t>
  </si>
  <si>
    <t>Memory</t>
  </si>
  <si>
    <t>Native fuzzing, exploit development</t>
  </si>
  <si>
    <t>Test native library vulnerabilities</t>
  </si>
  <si>
    <t>GDB, IDA Pro</t>
  </si>
  <si>
    <t>Debug native libraries
Fuzz JNI functions
Look for buffer overflows</t>
  </si>
  <si>
    <t>Native Library Fuzzing</t>
  </si>
  <si>
    <t>AFL, honggfuzz, libFuzzer</t>
  </si>
  <si>
    <t>Fuzz native .so files</t>
  </si>
  <si>
    <t>AFL++, honggfuzz</t>
  </si>
  <si>
    <t>afl-fuzz -i input/ -o output/ ./target_binary</t>
  </si>
  <si>
    <t>Native Library Symbol Analysis</t>
  </si>
  <si>
    <t>Debugging</t>
  </si>
  <si>
    <t>readelf, objdump, IDA Pro</t>
  </si>
  <si>
    <t>Check for debug symbols in .so</t>
  </si>
  <si>
    <t>readelf, objdump</t>
  </si>
  <si>
    <t>readelf -s lib.so
objdump -T lib.so</t>
  </si>
  <si>
    <t>Memory Dump Analysis</t>
  </si>
  <si>
    <t>Forensics</t>
  </si>
  <si>
    <t>Frida memory dump, gcore</t>
  </si>
  <si>
    <t>Extract runtime secrets from memory</t>
  </si>
  <si>
    <t>Frida, gcore</t>
  </si>
  <si>
    <t>frida-trace -U -f com.package
Memory.scan to find patterns
gcore &lt;pid&gt;</t>
  </si>
  <si>
    <t>Application Resource Extraction</t>
  </si>
  <si>
    <t>adb pull, apktool</t>
  </si>
  <si>
    <t>Extract resources.arsc, assets</t>
  </si>
  <si>
    <t>apktool, adb</t>
  </si>
  <si>
    <t>apktool d app.apk
adb pull /data/app/com.package/base.apk</t>
  </si>
  <si>
    <t>URL Extraction from Code</t>
  </si>
  <si>
    <t>Reconnaissance</t>
  </si>
  <si>
    <t>grep, jadx, strings</t>
  </si>
  <si>
    <t>Identify endpoints and URLs</t>
  </si>
  <si>
    <t>strings app.apk | grep -E 'https?://'
grep -rE '(http|https)://' output/</t>
  </si>
  <si>
    <t>3.7</t>
  </si>
  <si>
    <t>Network Traffic Analysis</t>
  </si>
  <si>
    <t>Wireshark, tcpdump, Network Miner</t>
  </si>
  <si>
    <t>Capture and analyze packets</t>
  </si>
  <si>
    <t>tcpdump -i any -w capture.pcap
wireshark capture.pcap</t>
  </si>
  <si>
    <t>Backend Port Scanning</t>
  </si>
  <si>
    <t>Infrastructure</t>
  </si>
  <si>
    <t>nmap, masscan</t>
  </si>
  <si>
    <t>Scan for exposed backend ports</t>
  </si>
  <si>
    <t>nmap -sV -p- api.example.com
masscan -p1-65535 api.example.com</t>
  </si>
  <si>
    <t>Default Credentials on Backend</t>
  </si>
  <si>
    <t>Manual testing, Hydra</t>
  </si>
  <si>
    <t>Test common credentials</t>
  </si>
  <si>
    <t>Hydra, Manual</t>
  </si>
  <si>
    <t>hydra -L users.txt -P passwords.txt api.example.com http-post-form</t>
  </si>
  <si>
    <t>WSDL Service Discovery</t>
  </si>
  <si>
    <t>SOAP-UI, manual discovery</t>
  </si>
  <si>
    <t>Enumerate SOAP services</t>
  </si>
  <si>
    <t>SOAP-UI, curl</t>
  </si>
  <si>
    <t>curl https://api.example.com/service?wsdl</t>
  </si>
  <si>
    <t>Web Server Misconfiguration</t>
  </si>
  <si>
    <t>Nikto, ZAP, manual testing</t>
  </si>
  <si>
    <t>Check headers and configs</t>
  </si>
  <si>
    <t>Nikto, curl</t>
  </si>
  <si>
    <t>nikto -h https://api.example.com
curl -I https://api.example.com</t>
  </si>
  <si>
    <t>Inspeckage Runtime Analysis</t>
  </si>
  <si>
    <t>Inspeckage Xposed module</t>
  </si>
  <si>
    <t>Runtime app inspection</t>
  </si>
  <si>
    <t>Xposed, Inspeckage</t>
  </si>
  <si>
    <t>Install Xposed + Inspeckage
Enable for target app
Monitor at runtime</t>
  </si>
  <si>
    <t>3.1</t>
  </si>
  <si>
    <t>AndBug Debugging</t>
  </si>
  <si>
    <t>AndBug</t>
  </si>
  <si>
    <t>Debug Dalvik applications</t>
  </si>
  <si>
    <t>andbug shell -p &lt;pid&gt;
Set breakpoints and inspect variables</t>
  </si>
  <si>
    <t>Appmon Runtime Monitoring</t>
  </si>
  <si>
    <t>Appmon, Frida</t>
  </si>
  <si>
    <t>Monitor API calls at runtime</t>
  </si>
  <si>
    <t>python appmon.py
Attach to process
Monitor API calls</t>
  </si>
  <si>
    <t>Drozer Security Assessment</t>
  </si>
  <si>
    <t>drozer</t>
  </si>
  <si>
    <t>Comprehensive IPC testing</t>
  </si>
  <si>
    <t>drozer console connect
run app.package.attacksurface com.package</t>
  </si>
  <si>
    <t>Frida Dynamic Instrumentation</t>
  </si>
  <si>
    <t>Hook and modify runtime behavior</t>
  </si>
  <si>
    <t>Frida</t>
  </si>
  <si>
    <t>frida -U -f com.package -l script.js
Hook methods and modify behavior</t>
  </si>
  <si>
    <t>Objection Mobile Testing</t>
  </si>
  <si>
    <t>Objection</t>
  </si>
  <si>
    <t>All-in-one mobile pentesting</t>
  </si>
  <si>
    <t>objection -g com.package explore
android hooking list classes</t>
  </si>
  <si>
    <t>MobSF Automated Analysis</t>
  </si>
  <si>
    <t>Static and dynamic analysis platform</t>
  </si>
  <si>
    <t>Upload APK to MobSF web interface
Review comprehensive report</t>
  </si>
  <si>
    <t>Application Framework Detection</t>
  </si>
  <si>
    <t>Identify framework (Native, React Native, Flutter)</t>
  </si>
  <si>
    <t>aapt, jadx</t>
  </si>
  <si>
    <t>Check for React Native, Flutter, or Cordova specific files</t>
  </si>
  <si>
    <t>Application Version Detection</t>
  </si>
  <si>
    <t>Extract versionCode and versionName</t>
  </si>
  <si>
    <t>aapt dump badging app.apk | grep 'versionCode\|versionName'</t>
  </si>
  <si>
    <t>Minimum SDK Version Check</t>
  </si>
  <si>
    <t>Check minSdkVersion compatibility</t>
  </si>
  <si>
    <t>Weak Signature Algorithm (SHA1withRSA)</t>
  </si>
  <si>
    <t>Check for SHA1withRSA</t>
  </si>
  <si>
    <t>apksigner verify --print-certs app.apk | grep 'SHA1withRSA'</t>
  </si>
  <si>
    <t>Network Security Config File Presence</t>
  </si>
  <si>
    <t>apktool, res/xml/</t>
  </si>
  <si>
    <t>Check for network_security_config.xml</t>
  </si>
  <si>
    <t>apktool</t>
  </si>
  <si>
    <t>Debuggable Flag Enabled (debug=true)</t>
  </si>
  <si>
    <t>Check android:debuggable='true'</t>
  </si>
  <si>
    <t>Backup Allowed (backup=true)</t>
  </si>
  <si>
    <t>Check android:allowBackup='true'</t>
  </si>
  <si>
    <t>grep 'allowBackup="true"' AndroidManifest.xml
adb backup -apk com.package</t>
  </si>
  <si>
    <t>Exported Components Detection</t>
  </si>
  <si>
    <t>Check exported=true</t>
  </si>
  <si>
    <t>aapt dump xmltree app.apk AndroidManifest.xml | grep exported
drozer run app.package.attacksurface</t>
  </si>
  <si>
    <t>Invoke Protected Activity via ADB/Drozer</t>
  </si>
  <si>
    <t>Test activity invocation</t>
  </si>
  <si>
    <t>adb shell am start -n com.package/.Activity
drozer run app.activity.start</t>
  </si>
  <si>
    <t>SQL Injection in Content Providers</t>
  </si>
  <si>
    <t>SQLi in content providers</t>
  </si>
  <si>
    <t>drozer run scanner.provider.injection -a com.package</t>
  </si>
  <si>
    <t>Path Traversal in Content Providers</t>
  </si>
  <si>
    <t>Directory traversal</t>
  </si>
  <si>
    <t>drozer run scanner.provider.traversal -a com.package</t>
  </si>
  <si>
    <t>Invoke Protected Content Provider</t>
  </si>
  <si>
    <t>adb shell content query --uri content://provider/
drozer run app.provider.query</t>
  </si>
  <si>
    <t>Deep Links Implementation Check</t>
  </si>
  <si>
    <t>Check URL scheme handlers</t>
  </si>
  <si>
    <t>grep -A5 'android.intent.action.VIEW' AndroidManifest.xml</t>
  </si>
  <si>
    <t>WebView Implementation Check</t>
  </si>
  <si>
    <t>Identify WebView usage</t>
  </si>
  <si>
    <t>grep -r 'WebView' output/
Check WebView settings</t>
  </si>
  <si>
    <t>Partial Code Obfuscation Analysis</t>
  </si>
  <si>
    <t>jadx, ProGuard</t>
  </si>
  <si>
    <t>Check partial obfuscation</t>
  </si>
  <si>
    <t>Analyze if only some packages are obfuscated</t>
  </si>
  <si>
    <t>Hardcoded Credentials in Code</t>
  </si>
  <si>
    <t>Find hardcoded passwords</t>
  </si>
  <si>
    <t>grep -rE 'password\s*=|pwd\s*=' output/</t>
  </si>
  <si>
    <t>Google Maps API Keys Exposure</t>
  </si>
  <si>
    <t>Check GMaps keys</t>
  </si>
  <si>
    <t>grep</t>
  </si>
  <si>
    <t>grep -rE 'AIza[0-9A-Za-z_-]{35}' .</t>
  </si>
  <si>
    <t>Firebase API Keys Exposure</t>
  </si>
  <si>
    <t>grep, google-services.json</t>
  </si>
  <si>
    <t>Check Firebase config</t>
  </si>
  <si>
    <t>cat google-services.json
grep -r 'firebase' res/</t>
  </si>
  <si>
    <t>Other API Keys Detection</t>
  </si>
  <si>
    <t>Find third-party keys</t>
  </si>
  <si>
    <t>grep -rE 'api_key|apikey|api-key' .</t>
  </si>
  <si>
    <t>SSL Pinning Not Implemented</t>
  </si>
  <si>
    <t>Check for pinning absence</t>
  </si>
  <si>
    <t>grep -r 'CertificatePinner\|TrustManager' output/</t>
  </si>
  <si>
    <t>Emulator Detection Not Implemented</t>
  </si>
  <si>
    <t>Emulator</t>
  </si>
  <si>
    <t>Test on emulator</t>
  </si>
  <si>
    <t>Run app on emulator
Check if it runs without checks</t>
  </si>
  <si>
    <t>Sensitive Data in Shared Preferences</t>
  </si>
  <si>
    <t>Check shared_prefs XML</t>
  </si>
  <si>
    <t>adb shell run-as com.package
cat shared_prefs/*.xml</t>
  </si>
  <si>
    <t>Sensitive Data in Temporary Files</t>
  </si>
  <si>
    <t>Check cache/tmp</t>
  </si>
  <si>
    <t>adb shell run-as com.package
ls -la cache/</t>
  </si>
  <si>
    <t>Sensitive Data in Database Files</t>
  </si>
  <si>
    <t>Check database encryption</t>
  </si>
  <si>
    <t>adb shell run-as com.package
sqlite3 databases/*.db '.dump'</t>
  </si>
  <si>
    <t>Sensitive Data in SD Card Storage</t>
  </si>
  <si>
    <t>Check external storage</t>
  </si>
  <si>
    <t>adb shell ls -la /sdcard/Android/data/com.package/</t>
  </si>
  <si>
    <t>Logcat Information Disclosure</t>
  </si>
  <si>
    <t>adb logcat</t>
  </si>
  <si>
    <t>Monitor for sensitive logs</t>
  </si>
  <si>
    <t>adb logcat | grep -iE 'password|token|key'</t>
  </si>
  <si>
    <t>Android Snapshot/Task Switching Issue</t>
  </si>
  <si>
    <t>Manual</t>
  </si>
  <si>
    <t>Check app switcher</t>
  </si>
  <si>
    <t>Open sensitive screen
Press recent apps
Check screenshot</t>
  </si>
  <si>
    <t>Vulnerable Android OS Version Support</t>
  </si>
  <si>
    <t>Check minSdkVersion</t>
  </si>
  <si>
    <t>Application Backup and Lock Bypass</t>
  </si>
  <si>
    <t>adb backup</t>
  </si>
  <si>
    <t>Extract and analyze backup</t>
  </si>
  <si>
    <t>adb backup -f backup.ab -apk com.package
Extract and analyze</t>
  </si>
  <si>
    <t>Copy/Paste Functionality Enabled</t>
  </si>
  <si>
    <t>Test clipboard</t>
  </si>
  <si>
    <t>Manual, adb</t>
  </si>
  <si>
    <t>Test copy/paste on sensitive fields
Monitor clipboard</t>
  </si>
  <si>
    <t>Sensitive Data Not Masked in App Switching</t>
  </si>
  <si>
    <t>Check FLAG_SECURE</t>
  </si>
  <si>
    <t>Background app
Check if data is masked in recent apps</t>
  </si>
  <si>
    <t>URL Extraction from Resources</t>
  </si>
  <si>
    <t>Extract endpoints</t>
  </si>
  <si>
    <t>strings app.apk | grep -E 'https?://'
grep -r 'http' res/</t>
  </si>
  <si>
    <t>APK Recompilation and Re-signing</t>
  </si>
  <si>
    <t>Repack APK</t>
  </si>
  <si>
    <t>apktool d app.apk
# Modify
apktool b app/
jarsigner modified.apk</t>
  </si>
  <si>
    <t>Application Bundle ID Detection</t>
  </si>
  <si>
    <t>ipainstaller, jtool</t>
  </si>
  <si>
    <t>Identify app bundle identifier</t>
  </si>
  <si>
    <t>jtool, strings</t>
  </si>
  <si>
    <t>jtool --ent app.ipa | grep 'application-identifier'
strings app.ipa | grep 'CFBundleIdentifier'</t>
  </si>
  <si>
    <t>IPA Extraction and Decryption</t>
  </si>
  <si>
    <t>Clutch, frida-ios-dump, bfinject</t>
  </si>
  <si>
    <t>Extract and decrypt IPA from device</t>
  </si>
  <si>
    <t>Clutch, frida-ios-dump</t>
  </si>
  <si>
    <t>Clutch -d com.app.bundleid
frida-ios-dump -U -l | grep AppName
frida-ios-dump -U AppName</t>
  </si>
  <si>
    <t>Binary Analysis - Weak Encryption Check</t>
  </si>
  <si>
    <t>class-dump, otool, Hopper</t>
  </si>
  <si>
    <t>Check for weak crypto implementations</t>
  </si>
  <si>
    <t>class-dump, otool</t>
  </si>
  <si>
    <t>class-dump -H app.ipa
otool -L AppBinary | grep -i crypto
strings AppBinary | grep -E 'MD5|DES|RC4'</t>
  </si>
  <si>
    <t>class-dump, Hopper Disassembler</t>
  </si>
  <si>
    <t>Check for code obfuscation level</t>
  </si>
  <si>
    <t>class-dump, Hopper</t>
  </si>
  <si>
    <t>class-dump -H AppBinary
Analyze class/method names for obfuscation patterns</t>
  </si>
  <si>
    <t>Binary Analysis for Secrets</t>
  </si>
  <si>
    <t>strings, grep, MobSF</t>
  </si>
  <si>
    <t>strings, grep, jtool</t>
  </si>
  <si>
    <t>strings AppBinary | grep -E '(http|https|api)'
grep -rE 'api_key|secret' .
jtool --pages AppBinary</t>
  </si>
  <si>
    <t>class-dump, Hopper, MobSF</t>
  </si>
  <si>
    <t>Search for passwords, tokens in binary</t>
  </si>
  <si>
    <t>strings, class-dump</t>
  </si>
  <si>
    <t>strings AppBinary | grep -iE 'password|token|secret|auth'
class-dump -H AppBinary | grep -i password</t>
  </si>
  <si>
    <t>API Keys Detection (GMaps, Firebase, AWS)</t>
  </si>
  <si>
    <t>strings, plist analysis</t>
  </si>
  <si>
    <t>Find API keys in binary/plist</t>
  </si>
  <si>
    <t>strings, plutil</t>
  </si>
  <si>
    <t>strings AppBinary | grep -E 'AIza[0-9A-Za-z_-]{35}'
plutil -p Info.plist | grep -i 'api'</t>
  </si>
  <si>
    <t>CoreData/SQLite Schema Disclosure</t>
  </si>
  <si>
    <t>class-dump, strings</t>
  </si>
  <si>
    <t>Check if DB schema exposed in binary</t>
  </si>
  <si>
    <t>strings, sqlite3</t>
  </si>
  <si>
    <t>strings AppBinary | grep -iE 'CREATE TABLE|INSERT INTO'
sqlite3 app.db .schema</t>
  </si>
  <si>
    <t>Binary PIE (Position Independent Executable)</t>
  </si>
  <si>
    <t>Build/Security</t>
  </si>
  <si>
    <t>otool, jtool</t>
  </si>
  <si>
    <t>Check if PIE is enabled</t>
  </si>
  <si>
    <t>otool -hv AppBinary | grep PIE
jtool --pages AppBinary | grep __PAGEZERO</t>
  </si>
  <si>
    <t>Stack Canaries (Stack Smashing Protection)</t>
  </si>
  <si>
    <t>otool, checksec</t>
  </si>
  <si>
    <t>Check for stack canaries</t>
  </si>
  <si>
    <t>otool, checksec.sh</t>
  </si>
  <si>
    <t>otool -I -v AppBinary | grep stack_chk
checksec --file=AppBinary</t>
  </si>
  <si>
    <t>ARC (Automatic Reference Counting)</t>
  </si>
  <si>
    <t>otool, class-dump</t>
  </si>
  <si>
    <t>Verify ARC is enabled</t>
  </si>
  <si>
    <t>otool</t>
  </si>
  <si>
    <t>otool -I -v AppBinary | grep objc_release
Check for manual retain/release calls</t>
  </si>
  <si>
    <t>Info.plist Security Analysis</t>
  </si>
  <si>
    <t>Configuration</t>
  </si>
  <si>
    <t>plutil, plistutil</t>
  </si>
  <si>
    <t>Analyze Info.plist for security issues</t>
  </si>
  <si>
    <t>plutil -p Info.plist
Check NSAppTransportSecurity, URL schemes, permissions</t>
  </si>
  <si>
    <t>Entitlements Analysis</t>
  </si>
  <si>
    <t>jtool, codesign</t>
  </si>
  <si>
    <t>Review app entitlements and permissions</t>
  </si>
  <si>
    <t>jtool --ent AppBinary
codesign -d --entitlements - app.app
ldid -e AppBinary</t>
  </si>
  <si>
    <t>Privacy Permissions Analysis</t>
  </si>
  <si>
    <t>Info.plist analysis</t>
  </si>
  <si>
    <t>Check NSUsageDescription keys</t>
  </si>
  <si>
    <t>plutil, grep</t>
  </si>
  <si>
    <t>plutil -p Info.plist | grep 'UsageDescription'
Check for location, camera, contacts permissions</t>
  </si>
  <si>
    <t>iOS Version Compatibility Check</t>
  </si>
  <si>
    <t>Info.plist</t>
  </si>
  <si>
    <t>Check minimum iOS version supported</t>
  </si>
  <si>
    <t>plutil</t>
  </si>
  <si>
    <t>plutil -p Info.plist | grep 'MinimumOSVersion'</t>
  </si>
  <si>
    <t>App Transport Security (ATS) Analysis</t>
  </si>
  <si>
    <t>Check ATS configuration and exceptions</t>
  </si>
  <si>
    <t>plutil -p Info.plist | grep -A20 'NSAppTransportSecurity'
Check for NSAllowsArbitraryLoads</t>
  </si>
  <si>
    <t>Keychain Data Storage Analysis</t>
  </si>
  <si>
    <t>Keychain-Dumper, objection</t>
  </si>
  <si>
    <t>Check keychain for sensitive data</t>
  </si>
  <si>
    <t>Keychain-Dumper
objection -g com.app explore
ios keychain dump</t>
  </si>
  <si>
    <t>SSH, SQLite browser</t>
  </si>
  <si>
    <t>Check for unencrypted SQLite databases</t>
  </si>
  <si>
    <t>SSH, sqlite3</t>
  </si>
  <si>
    <t>ssh root@device
cd /var/mobile/Containers/Data/Application/&lt;UUID&gt;/
sqlite3 app.db '.dump'</t>
  </si>
  <si>
    <t>Sensitive Data in Plist Files</t>
  </si>
  <si>
    <t>SSH, plutil</t>
  </si>
  <si>
    <t>Check plist files for sensitive data</t>
  </si>
  <si>
    <t>ssh root@device
cd /var/mobile/Containers/Data/Application/&lt;UUID&gt;/
plutil -p *.plist</t>
  </si>
  <si>
    <t>Sensitive Data in User Defaults</t>
  </si>
  <si>
    <t>objection, Frida</t>
  </si>
  <si>
    <t>Check NSUserDefaults for sensitive data</t>
  </si>
  <si>
    <t>objection -g com.app explore
ios nsuserdefaults get</t>
  </si>
  <si>
    <t>Sensitive Data in Cache Files</t>
  </si>
  <si>
    <t>SSH, file analysis</t>
  </si>
  <si>
    <t>Inspect cache directories</t>
  </si>
  <si>
    <t>SSH</t>
  </si>
  <si>
    <t>ssh root@device
cd /var/mobile/Containers/Data/Application/&lt;UUID&gt;/Library/Caches/
ls -la</t>
  </si>
  <si>
    <t>Information Disclosure via Console Logs</t>
  </si>
  <si>
    <t>Console.app, idevicesyslog</t>
  </si>
  <si>
    <t>Monitor console for sensitive data</t>
  </si>
  <si>
    <t>idevicesyslog, Console.app</t>
  </si>
  <si>
    <t>idevicesyslog | grep -iE 'password|token|api'
Open Console.app and filter by app</t>
  </si>
  <si>
    <t>Clipboard/Pasteboard Security</t>
  </si>
  <si>
    <t>Frida, objection</t>
  </si>
  <si>
    <t>Test clipboard data exposure</t>
  </si>
  <si>
    <t>objection -g com.app explore
ios pasteboard monitor
Hook UIPasteboard methods</t>
  </si>
  <si>
    <t>Biometric Authentication Implementation</t>
  </si>
  <si>
    <t>Test Touch ID/Face ID implementation</t>
  </si>
  <si>
    <t>objection -g com.app explore
ios ui biometrics_bypass
Hook LAContext evaluatePolicy</t>
  </si>
  <si>
    <t>Local Authentication Bypass</t>
  </si>
  <si>
    <t>Frida, cycript</t>
  </si>
  <si>
    <t>Attempt to bypass local authentication</t>
  </si>
  <si>
    <t>frida -U -f com.app -l auth_bypass.js
Hook authentication methods and return true</t>
  </si>
  <si>
    <t>Session Management Analysis</t>
  </si>
  <si>
    <t>Burp Suite, Charles Proxy</t>
  </si>
  <si>
    <t>Test session handling and invalidation</t>
  </si>
  <si>
    <t>Setup proxy
Test session timeout
Reuse old session tokens after logout</t>
  </si>
  <si>
    <t>Token Storage and Security</t>
  </si>
  <si>
    <t>objection, Keychain analysis</t>
  </si>
  <si>
    <t>Check how tokens are stored</t>
  </si>
  <si>
    <t>objection, Keychain-Dumper</t>
  </si>
  <si>
    <t>objection -g com.app explore
ios keychain dump
Check for tokens in keychain</t>
  </si>
  <si>
    <t>Certificate Pinning Implementation</t>
  </si>
  <si>
    <t>class-dump, objection</t>
  </si>
  <si>
    <t>Check for SSL pinning</t>
  </si>
  <si>
    <t>class-dump -H AppBinary | grep -i 'pin\|trust\|certificate'
objection -g com.app explore
ios sslpinning disable</t>
  </si>
  <si>
    <t>SSL Kill Switch, objection, Frida</t>
  </si>
  <si>
    <t>Attempt to bypass SSL pinning</t>
  </si>
  <si>
    <t>SSL Kill Switch, objection</t>
  </si>
  <si>
    <t>Install SSL Kill Switch 2 from Cydia
objection -g com.app explore
ios sslpinning disable</t>
  </si>
  <si>
    <t>Burp Suite, Charles Proxy, mitmproxy</t>
  </si>
  <si>
    <t>Burp Suite, Charles</t>
  </si>
  <si>
    <t>Configure iOS proxy settings
Install Burp CA certificate
Intercept and analyze traffic</t>
  </si>
  <si>
    <t>tcpdump, Wireshark</t>
  </si>
  <si>
    <t>tcpdump -i any -w capture.pcap 'host &lt;device-ip&gt;'
wireshark capture.pcap</t>
  </si>
  <si>
    <t>Check TLS configuration</t>
  </si>
  <si>
    <t>sslscan api.example.com:443
sslyze --regular api.example.com</t>
  </si>
  <si>
    <t>Custom Certificate Validation</t>
  </si>
  <si>
    <t>Check for custom trust validation</t>
  </si>
  <si>
    <t>class-dump, grep</t>
  </si>
  <si>
    <t>class-dump -H AppBinary | grep 'NSURLSession\|URLSession'
Search for custom certificate validation</t>
  </si>
  <si>
    <t>Jailbreak Detection Implementation</t>
  </si>
  <si>
    <t>Test jailbreak detection</t>
  </si>
  <si>
    <t>Frida, Liberty Lite</t>
  </si>
  <si>
    <t>Run app on jailbroken device
Check for jailbreak detection
Install Liberty Lite tweak</t>
  </si>
  <si>
    <t>Jailbreak Detection Bypass</t>
  </si>
  <si>
    <t>Frida, Liberty Lite, Shadow</t>
  </si>
  <si>
    <t>Bypass jailbreak detection</t>
  </si>
  <si>
    <t>frida -U -f com.app -l jailbreak_bypass.js
Enable Liberty Lite for app
Use Shadow tweak</t>
  </si>
  <si>
    <t>Debugger Detection</t>
  </si>
  <si>
    <t>Frida, lldb</t>
  </si>
  <si>
    <t>Check anti-debugging mechanisms</t>
  </si>
  <si>
    <t>lldb, Frida</t>
  </si>
  <si>
    <t>debugserver -x backboard *:1234 /var/containers/Bundle/Application/app
Check for ptrace, sysctl calls</t>
  </si>
  <si>
    <t>Runtime Integrity Checks</t>
  </si>
  <si>
    <t>Frida, Hopper</t>
  </si>
  <si>
    <t>Test runtime manipulation detection</t>
  </si>
  <si>
    <t>frida -U -f com.app
Check for code integrity verification
Hook integrity check methods</t>
  </si>
  <si>
    <t>Weak Cryptography Implementation</t>
  </si>
  <si>
    <t>Look for weak algorithms</t>
  </si>
  <si>
    <t>strings AppBinary | grep -iE 'MD5|DES|RC4|ECB'
class-dump -H AppBinary | grep -i 'CCCrypt'</t>
  </si>
  <si>
    <t>Encryption Key Management</t>
  </si>
  <si>
    <t>class-dump, Hopper, strings</t>
  </si>
  <si>
    <t>Check for hardcoded keys</t>
  </si>
  <si>
    <t>strings AppBinary | grep -E 'key.*=|encryption.*key'
Search for hardcoded encryption keys</t>
  </si>
  <si>
    <t>CommonCrypto Usage Analysis</t>
  </si>
  <si>
    <t>Review CommonCrypto implementations</t>
  </si>
  <si>
    <t>otool -L AppBinary | grep CommonCrypto
class-dump -H AppBinary | grep CCCrypt</t>
  </si>
  <si>
    <t>Data Protection API Usage</t>
  </si>
  <si>
    <t>class-dump, jtool</t>
  </si>
  <si>
    <t>Check FileProtection attributes</t>
  </si>
  <si>
    <t>jtool, class-dump</t>
  </si>
  <si>
    <t>Check for NSFileProtectionComplete usage
jtool --ent AppBinary | grep 'protection'</t>
  </si>
  <si>
    <t>Backup Security Analysis</t>
  </si>
  <si>
    <t>iTunes backup, iMazing</t>
  </si>
  <si>
    <t>Test data in iTunes backups</t>
  </si>
  <si>
    <t>iTunes, iBackup Viewer</t>
  </si>
  <si>
    <t>Create iTunes backup
Analyze backup with iBackup Viewer
Check for sensitive data in backup</t>
  </si>
  <si>
    <t>Backup Exclusion Implementation</t>
  </si>
  <si>
    <t>class-dump, code review</t>
  </si>
  <si>
    <t>Check if sensitive files excluded</t>
  </si>
  <si>
    <t>class-dump</t>
  </si>
  <si>
    <t>Check for setResourceValue:forKey:error with NSURLIsExcludedFromBackupKey</t>
  </si>
  <si>
    <t>UDID and Device Identifier Usage</t>
  </si>
  <si>
    <t>class-dump, network monitor</t>
  </si>
  <si>
    <t>Check for device ID usage</t>
  </si>
  <si>
    <t>strings AppBinary | grep -iE 'UDID|uniqueIdentifier'
class-dump -H AppBinary | grep identifier</t>
  </si>
  <si>
    <t>Screenshot Protection (UIApplicationDelegate)</t>
  </si>
  <si>
    <t>Test screenshot capture</t>
  </si>
  <si>
    <t>Background app with sensitive data
Check screenshot in app switcher
Verify ignoreSnapshotOnNextApplicationLaunch</t>
  </si>
  <si>
    <t>Burp Suite, OWASP ZAP</t>
  </si>
  <si>
    <t>Test for injection vulnerabilities</t>
  </si>
  <si>
    <t>Intercept API requests
Fuzz parameters with injection payloads
Test for SQLi, XSS, command injection</t>
  </si>
  <si>
    <t>Check for excessive data</t>
  </si>
  <si>
    <t>Intercept API responses
Analyze for sensitive data exposure
Check for unnecessary data in responses</t>
  </si>
  <si>
    <t>Manual testing, Burp Suite</t>
  </si>
  <si>
    <t>Test payment flows
Price manipulation
Workflow sequence bypass
Parameter tampering</t>
  </si>
  <si>
    <t>API Authentication and Authorization</t>
  </si>
  <si>
    <t>Burp Suite, Postman</t>
  </si>
  <si>
    <t>Test API access controls</t>
  </si>
  <si>
    <t>Remove/modify auth tokens
Test horizontal/vertical privilege escalation
Attempt to access other users' data</t>
  </si>
  <si>
    <t>Rate Limiting and DoS</t>
  </si>
  <si>
    <t>Burp Intruder, custom scripts</t>
  </si>
  <si>
    <t>Test for rate limiting</t>
  </si>
  <si>
    <t>Burp Suite, scripts</t>
  </si>
  <si>
    <t>Send repeated requests
Test account lockout
Check for rate limiting implementation</t>
  </si>
  <si>
    <t>Custom URL Scheme Analysis</t>
  </si>
  <si>
    <t>Info.plist, class-dump</t>
  </si>
  <si>
    <t>Identify custom URL schemes</t>
  </si>
  <si>
    <t>plutil -p Info.plist | grep -A5 'CFBundleURLSchemes'
class-dump -H AppBinary | grep openURL</t>
  </si>
  <si>
    <t>Custom URL Scheme Exploitation</t>
  </si>
  <si>
    <t>Safari, other apps</t>
  </si>
  <si>
    <t>Safari, xcrun</t>
  </si>
  <si>
    <t>xcrun simctl openurl booted 'customscheme://action?param=value'
Fuzz URL parameters</t>
  </si>
  <si>
    <t>Universal Links Security</t>
  </si>
  <si>
    <t>apple-app-site-association</t>
  </si>
  <si>
    <t>Check Universal Links config</t>
  </si>
  <si>
    <t>curl, Manual</t>
  </si>
  <si>
    <t>curl https://domain.com/.well-known/apple-app-site-association
Verify proper configuration</t>
  </si>
  <si>
    <t>Inter-App Communication Security</t>
  </si>
  <si>
    <t>Test pasteboard/shared containers</t>
  </si>
  <si>
    <t>Check UIPasteboard usage
Test app group containers
Monitor inter-app communication</t>
  </si>
  <si>
    <t>UIWebView Usage (Deprecated)</t>
  </si>
  <si>
    <t>Check for deprecated UIWebView</t>
  </si>
  <si>
    <t>class-dump -H AppBinary | grep UIWebView
strings AppBinary | grep UIWebView</t>
  </si>
  <si>
    <t>WKWebView Security Configuration</t>
  </si>
  <si>
    <t>class-dump, runtime analysis</t>
  </si>
  <si>
    <t>Check WKWebView settings</t>
  </si>
  <si>
    <t>class-dump, Frida</t>
  </si>
  <si>
    <t>class-dump -H AppBinary | grep WKWebView
Check for javaScriptEnabled configuration</t>
  </si>
  <si>
    <t>WebView JavaScript Bridge Security</t>
  </si>
  <si>
    <t>Frida, Safari Web Inspector</t>
  </si>
  <si>
    <t>Test JS bridge vulnerabilities</t>
  </si>
  <si>
    <t>Frida, Safari Inspector</t>
  </si>
  <si>
    <t>Connect Safari Web Inspector
Test scriptMessageHandler
Attempt to call native functions from JS</t>
  </si>
  <si>
    <t>WebView File Access</t>
  </si>
  <si>
    <t>Frida, manual testing</t>
  </si>
  <si>
    <t>Test file:// URL access</t>
  </si>
  <si>
    <t>Frida, Manual</t>
  </si>
  <si>
    <t>Load file:// URLs in WebView
Test allowFileAccessFromFileURLs
Attempt local file access</t>
  </si>
  <si>
    <t>Automated Static Analysis</t>
  </si>
  <si>
    <t>MobSF, iMAS</t>
  </si>
  <si>
    <t>Run automated scanners</t>
  </si>
  <si>
    <t>Upload IPA to MobSF
Run automated security scan
Review findings</t>
  </si>
  <si>
    <t>Third-Party Library Vulnerabilities</t>
  </si>
  <si>
    <t>Dependencies</t>
  </si>
  <si>
    <t>Podfile, Carthage, CocoaPods</t>
  </si>
  <si>
    <t>Check for vulnerable libraries</t>
  </si>
  <si>
    <t>CocoaPods, Carthage</t>
  </si>
  <si>
    <t>pod outdated
Check for known CVEs in dependencies
Review Podfile.lock</t>
  </si>
  <si>
    <t>Private API Usage Detection</t>
  </si>
  <si>
    <t>Check for private API usage</t>
  </si>
  <si>
    <t>class-dump -H AppBinary | grep '_.*:'
strings AppBinary | grep -E '@"_'</t>
  </si>
  <si>
    <t>Code Signing Verification</t>
  </si>
  <si>
    <t>codesign, jtool</t>
  </si>
  <si>
    <t>Verify code signature</t>
  </si>
  <si>
    <t>codesign -vv -d app.app
jtool --sig AppBinary
codesign --verify --deep --strict app.app</t>
  </si>
  <si>
    <t>Binary Patching Detection</t>
  </si>
  <si>
    <t>Hopper, Frida</t>
  </si>
  <si>
    <t>Modify binary with Hopper
Re-sign and test
Check for runtime integrity verification</t>
  </si>
  <si>
    <t>Runtime Manipulation - Method Swizzling</t>
  </si>
  <si>
    <t>Test method hooking</t>
  </si>
  <si>
    <t>frida -U -f com.app
Hook Objective-C methods
Perform method swizzling</t>
  </si>
  <si>
    <t>Memory Corruption Vulnerabilities</t>
  </si>
  <si>
    <t>Frida, lldb, Hopper</t>
  </si>
  <si>
    <t>Test for buffer overflows</t>
  </si>
  <si>
    <t>lldb, Hopper</t>
  </si>
  <si>
    <t>Analyze native functions
Fuzz input parameters
Check for memory corruption</t>
  </si>
  <si>
    <t>Python/Swift scripts</t>
  </si>
  <si>
    <t>Send concurrent requests
Test file operations
Race condition in auth flows</t>
  </si>
  <si>
    <t>Native Code Analysis</t>
  </si>
  <si>
    <t>Native</t>
  </si>
  <si>
    <t>Hopper, IDA Pro, Ghidra</t>
  </si>
  <si>
    <t>Analyze native libraries</t>
  </si>
  <si>
    <t>Hopper, IDA Pro</t>
  </si>
  <si>
    <t>Load binary in Hopper/IDA
Analyze native methods
Check for vulnerabilities</t>
  </si>
  <si>
    <t>Swift Binary Analysis</t>
  </si>
  <si>
    <t>Static Analysis</t>
  </si>
  <si>
    <t>class-dump-swift, dsdump</t>
  </si>
  <si>
    <t>Analyze Swift binaries</t>
  </si>
  <si>
    <t>dsdump, swift-demangle</t>
  </si>
  <si>
    <t>dsdump AppBinary
swift-demangle to demangle symbols</t>
  </si>
  <si>
    <t>Objective-C Runtime Analysis</t>
  </si>
  <si>
    <t>Dynamic Analysis</t>
  </si>
  <si>
    <t>Analyze Obj-C at runtime</t>
  </si>
  <si>
    <t>frida -U -f com.app
ObjC.classes to list classes
Hook methods dynamically</t>
  </si>
  <si>
    <t>Extract runtime secrets</t>
  </si>
  <si>
    <t>frida -U -f com.app
Memory.scan to find patterns
Dump memory regions</t>
  </si>
  <si>
    <t>File System Analysis</t>
  </si>
  <si>
    <t>SSH, iFunBox</t>
  </si>
  <si>
    <t>Analyze app sandbox</t>
  </si>
  <si>
    <t>ssh root@device
cd /var/mobile/Containers/Data/Application/
Analyze file structure</t>
  </si>
  <si>
    <t>Wireshark, Charles Proxy</t>
  </si>
  <si>
    <t>tcpdump -i any -w capture.pcap
wireshark capture.pcap
Analyze protocols</t>
  </si>
  <si>
    <t>Push Notification Security</t>
  </si>
  <si>
    <t>Frida, network monitor</t>
  </si>
  <si>
    <t>Test push notification handling</t>
  </si>
  <si>
    <t>Frida, Charles</t>
  </si>
  <si>
    <t>Monitor APNS traffic
Test notification data security
Check for sensitive data in notifications</t>
  </si>
  <si>
    <t>Background Task Security</t>
  </si>
  <si>
    <t>Xcode Instruments, Frida</t>
  </si>
  <si>
    <t>Analyze background behavior</t>
  </si>
  <si>
    <t>Xcode Instruments</t>
  </si>
  <si>
    <t>Monitor background tasks
Check for data transmission
Analyze location updates</t>
  </si>
  <si>
    <t>Touch ID/Face ID Bypass Techniques</t>
  </si>
  <si>
    <t>Biometric</t>
  </si>
  <si>
    <t>Advanced biometric bypass</t>
  </si>
  <si>
    <t>objection -g com.app explore
ios ui biometrics_bypass
Hook LAContext and modify results</t>
  </si>
  <si>
    <t>Keychain Access Control</t>
  </si>
  <si>
    <t>Test keychain protection</t>
  </si>
  <si>
    <t>Keychain-Dumper</t>
  </si>
  <si>
    <t>Keychain-Dumper
Check kSecAttrAccessible attributes
Test keychain access controls</t>
  </si>
  <si>
    <t>Secure Enclave Usage</t>
  </si>
  <si>
    <t>Check Secure Enclave integration</t>
  </si>
  <si>
    <t>Check for SecKeyCreateRandomKey usage
Verify kSecAttrTokenIDSecureEnclave</t>
  </si>
  <si>
    <t>App Extensions Security</t>
  </si>
  <si>
    <t>Extension analysis</t>
  </si>
  <si>
    <t>Test app extensions</t>
  </si>
  <si>
    <t>Manual, SSH</t>
  </si>
  <si>
    <t>Analyze extension entitlements
Test shared containers
Check for data leakage</t>
  </si>
  <si>
    <t>Widget Security</t>
  </si>
  <si>
    <t>Test widget data exposure</t>
  </si>
  <si>
    <t>Check widget for sensitive data
Test widget update mechanism
Analyze shared container</t>
  </si>
  <si>
    <t>Siri Integration Security</t>
  </si>
  <si>
    <t>Integration</t>
  </si>
  <si>
    <t>Test Siri shortcuts</t>
  </si>
  <si>
    <t>Test Siri shortcut security
Check for data exposure
Analyze intent handling</t>
  </si>
  <si>
    <t>CloudKit Security</t>
  </si>
  <si>
    <t>Cloud</t>
  </si>
  <si>
    <t>Charles Proxy, Burp</t>
  </si>
  <si>
    <t>Test CloudKit integration</t>
  </si>
  <si>
    <t>Charles, Burp Suite</t>
  </si>
  <si>
    <t>Monitor CloudKit traffic
Test authentication
Check for data exposure</t>
  </si>
  <si>
    <t>iCloud Keychain Sync</t>
  </si>
  <si>
    <t>Test keychain sync</t>
  </si>
  <si>
    <t>Manual, Keychain Access</t>
  </si>
  <si>
    <t>Test keychain synchronization
Check for sensitive data in iCloud</t>
  </si>
  <si>
    <t>App Store Receipt Validation</t>
  </si>
  <si>
    <t>DRM</t>
  </si>
  <si>
    <t>Test receipt validation</t>
  </si>
  <si>
    <t>Frida, class-dump</t>
  </si>
  <si>
    <t>Check receipt validation logic
Attempt to bypass receipt checks
Test offline validation</t>
  </si>
  <si>
    <t>In-App Purchase Security</t>
  </si>
  <si>
    <t>Payment</t>
  </si>
  <si>
    <t>Frida, Charles Proxy</t>
  </si>
  <si>
    <t>Test IAP vulnerabilities</t>
  </si>
  <si>
    <t>Intercept IAP transactions
Test receipt validation
Attempt purchase bypass</t>
  </si>
  <si>
    <t>Deep Link Parameter Validation</t>
  </si>
  <si>
    <t>URL fuzzing</t>
  </si>
  <si>
    <t>Fuzz deep link parameters</t>
  </si>
  <si>
    <t>xcrun simctl openurl booted 'scheme://host?param=payload'
Fuzz with various payloads</t>
  </si>
  <si>
    <t>Core Data Encryption</t>
  </si>
  <si>
    <t>class-dump, SQLite</t>
  </si>
  <si>
    <t>Check Core Data encryption</t>
  </si>
  <si>
    <t>sqlite3, class-dump</t>
  </si>
  <si>
    <t>Check for NSPersistentStoreFileProtectionKey
Analyze Core Data store encryption</t>
  </si>
  <si>
    <t>Realm Database Security</t>
  </si>
  <si>
    <t>Realm Studio, SSH</t>
  </si>
  <si>
    <t>Test Realm encryption</t>
  </si>
  <si>
    <t>Check for Realm encryption key
Open Realm file with Realm Studio
Test encryption implementation</t>
  </si>
  <si>
    <t>Firebase Security Rules</t>
  </si>
  <si>
    <t>Backend</t>
  </si>
  <si>
    <t>Firebase Console, API testing</t>
  </si>
  <si>
    <t>Test Firebase configuration</t>
  </si>
  <si>
    <t>curl, Postman</t>
  </si>
  <si>
    <t>Test Firebase rules
Attempt unauthorized access
Check for exposed Firebase keys</t>
  </si>
  <si>
    <t>GraphQL API Security</t>
  </si>
  <si>
    <t>Burp Suite, GraphQL Voyager</t>
  </si>
  <si>
    <t>Test GraphQL endpoints</t>
  </si>
  <si>
    <t>Burp Suite, Altair</t>
  </si>
  <si>
    <t>Test introspection queries
Check for excessive data exposure
Test authorization</t>
  </si>
  <si>
    <t>WebSocket Security</t>
  </si>
  <si>
    <t>Burp Suite, WebSocket King</t>
  </si>
  <si>
    <t>Test WebSocket connections</t>
  </si>
  <si>
    <t>Intercept WebSocket traffic
Test authentication
Check for injection vulnerabilities</t>
  </si>
  <si>
    <t>ARKit Privacy</t>
  </si>
  <si>
    <t>Test AR data handling</t>
  </si>
  <si>
    <t>Check camera/sensor access
Test AR data storage
Analyze privacy implications</t>
  </si>
  <si>
    <t>HealthKit Data Security</t>
  </si>
  <si>
    <t>Test health data handling</t>
  </si>
  <si>
    <t>Check HealthKit permissions
Test data encryption
Verify secure storage</t>
  </si>
  <si>
    <t>HomeKit Security</t>
  </si>
  <si>
    <t>IoT</t>
  </si>
  <si>
    <t>Test HomeKit integration</t>
  </si>
  <si>
    <t>Test HomeKit authentication
Check for secure pairing
Analyze communication security</t>
  </si>
  <si>
    <t>NFC Security</t>
  </si>
  <si>
    <t>Hardware</t>
  </si>
  <si>
    <t>Test NFC implementation</t>
  </si>
  <si>
    <t>Test NFC reader mode
Check for data validation
Analyze security measures</t>
  </si>
  <si>
    <t>Bluetooth Security</t>
  </si>
  <si>
    <t>Wireshark, nRF Connect</t>
  </si>
  <si>
    <t>Test Bluetooth implementation</t>
  </si>
  <si>
    <t>nRF Connect, Wireshark</t>
  </si>
  <si>
    <t>Scan for Bluetooth services
Test pairing security
Monitor BLE traffic</t>
  </si>
  <si>
    <t>VPN Configuration Security</t>
  </si>
  <si>
    <t>Test VPN implementation</t>
  </si>
  <si>
    <t>Manual, tcpdump</t>
  </si>
  <si>
    <t>Check VPN configuration
Test for DNS leaks
Analyze encryption</t>
  </si>
  <si>
    <t>MDM Profile Analysis</t>
  </si>
  <si>
    <t>Enterprise</t>
  </si>
  <si>
    <t>Profile Manager</t>
  </si>
  <si>
    <t>Test MDM configurations</t>
  </si>
  <si>
    <t>Analyze MDM profiles
Check security settings
Test configuration enforcement</t>
  </si>
  <si>
    <t>App Thinning Analysis</t>
  </si>
  <si>
    <t>Xcode, jtool</t>
  </si>
  <si>
    <t>Analyze app thinning</t>
  </si>
  <si>
    <t>Xcode</t>
  </si>
  <si>
    <t>Check for bitcode
Analyze asset catalogs
Review slicing configuration</t>
  </si>
  <si>
    <t>Crash Log Analysis</t>
  </si>
  <si>
    <t>Console.app, Xcode</t>
  </si>
  <si>
    <t>Analyze crash reports</t>
  </si>
  <si>
    <t>Review crash logs
Check for sensitive data in crashes
Analyze stack traces</t>
  </si>
  <si>
    <t>Code Coverage for Security Tests</t>
  </si>
  <si>
    <t>Testing</t>
  </si>
  <si>
    <t>Xcode, llvm-cov</t>
  </si>
  <si>
    <t>Measure test coverage</t>
  </si>
  <si>
    <t>Xcode Code Coverage</t>
  </si>
  <si>
    <t>Enable code coverage
Run security tests
Analyze coverage reports</t>
  </si>
  <si>
    <t>Inspect Temp Files and Cache Storage</t>
  </si>
  <si>
    <t>SSH, file explorer</t>
  </si>
  <si>
    <t>Check cache directories for sensitive data</t>
  </si>
  <si>
    <t>ssh root@device
cd /var/mobile/Containers/Data/Application/&lt;UUID&gt;/Library/Caches/
ls -la
cat cache_file</t>
  </si>
  <si>
    <t>NSUserDefaults Data Inspection</t>
  </si>
  <si>
    <t>Inspect NSUserDefaults for sensitive data</t>
  </si>
  <si>
    <t>objection -g com.app explore
ios nsuserdefaults get
cat ~/Library/Preferences/com.app.plist</t>
  </si>
  <si>
    <t>Binary Encryption Status (LC_ENCRYPTION_INFO)</t>
  </si>
  <si>
    <t>Check if binary is encrypted</t>
  </si>
  <si>
    <t>otool -l AppBinary | grep cryptid
jtool --pages AppBinary | grep LC_ENCRYPTION_INFO</t>
  </si>
  <si>
    <t>List Dynamic Library Dependencies</t>
  </si>
  <si>
    <t>Enumerate dynamic libraries</t>
  </si>
  <si>
    <t>otool -L AppBinary
jtool -l AppBinary
list all @rpath dependencies</t>
  </si>
  <si>
    <t>Dump Load Commands</t>
  </si>
  <si>
    <t>Extract Mach-O load commands</t>
  </si>
  <si>
    <t>otool -l AppBinary
jtool --pages AppBinary
Analyze LC_* commands</t>
  </si>
  <si>
    <t>Dynamic Library Methods and Classes Analysis</t>
  </si>
  <si>
    <t>Inspect dynamically loaded libraries</t>
  </si>
  <si>
    <t>class-dump -H DynamicFramework.framework
frida -U -f com.app
ObjC.classes to enumerate</t>
  </si>
  <si>
    <t>IPA Decryption Process</t>
  </si>
  <si>
    <t>Decrypt encrypted IPA from device</t>
  </si>
  <si>
    <t>Clutch -d com.app.bundleid
frida-ios-dump -U -l
frida-ios-dump -U AppName -o decrypted.ipa</t>
  </si>
  <si>
    <t>Dump Objective-C Class Headers</t>
  </si>
  <si>
    <t>class-dump, class-dump-z</t>
  </si>
  <si>
    <t>Extract class interfaces</t>
  </si>
  <si>
    <t>class-dump -H -o headers/ AppBinary
class-dump-z AppBinary &gt; headers.txt</t>
  </si>
  <si>
    <t>System Logs Monitoring</t>
  </si>
  <si>
    <t>Monitor system logs for sensitive data</t>
  </si>
  <si>
    <t>idevicesyslog, Console</t>
  </si>
  <si>
    <t>idevicesyslog | grep -iE 'password|token|api'
Console.app → Filter by process name</t>
  </si>
  <si>
    <t>Method Tracing and Hooking</t>
  </si>
  <si>
    <t>Frida, frida-trace</t>
  </si>
  <si>
    <t>Trace method calls at runtime</t>
  </si>
  <si>
    <t>frida-trace -U -f com.app -m '-[ClassName methodName]'
frida -U -f com.app -l trace.js</t>
  </si>
  <si>
    <t>Plist and XML Files Inspection</t>
  </si>
  <si>
    <t>plutil, plistutil, SSH</t>
  </si>
  <si>
    <t>Analyze all plist/xml files</t>
  </si>
  <si>
    <t>plutil, SSH</t>
  </si>
  <si>
    <t>find . -name '*.plist' -exec plutil -p {} \;
grep -r 'password\|token' *.plist</t>
  </si>
  <si>
    <t>Local Data Store Inspection</t>
  </si>
  <si>
    <t>Inspect all local storage locations</t>
  </si>
  <si>
    <t>cd /var/mobile/Containers/Data/Application/&lt;UUID&gt;/
find . -name '*.db' -o -name '*.sqlite'
sqlite3 app.db '.tables'</t>
  </si>
  <si>
    <t>Application Background Snapshot Check</t>
  </si>
  <si>
    <t>Test screenshot protection when backgrounded</t>
  </si>
  <si>
    <t>Open sensitive screen
Press home button
Check app switcher for visible data
Verify ignoreSnapshotOnNextApplicationLaunch</t>
  </si>
  <si>
    <t>Network Data Transmission Methods</t>
  </si>
  <si>
    <t>Burp Suite, Wireshark</t>
  </si>
  <si>
    <t>Analyze how data is sent to server</t>
  </si>
  <si>
    <t>Intercept network traffic
Analyze HTTP/HTTPS requests
Check encryption methods used</t>
  </si>
  <si>
    <t>SQLite Injection in Local Database</t>
  </si>
  <si>
    <t>Manual testing, SQLite</t>
  </si>
  <si>
    <t>Test for SQL injection in local DB</t>
  </si>
  <si>
    <t>Manual testing, sqlite3</t>
  </si>
  <si>
    <t>Test input fields with SQLi payloads
' OR '1'='1
Direct sqlite3 manipulation</t>
  </si>
  <si>
    <t>SSL Certificate Validation Testing</t>
  </si>
  <si>
    <t>Burp Suite, self-signed cert</t>
  </si>
  <si>
    <t>Test certificate validation logic</t>
  </si>
  <si>
    <t>Use self-signed certificate
Use expired certificate
Check if app accepts invalid certs</t>
  </si>
  <si>
    <t>XML Parser Attack (XXE)</t>
  </si>
  <si>
    <t>Burp Suite, XXE payloads</t>
  </si>
  <si>
    <t>Test for XML External Entity attacks</t>
  </si>
  <si>
    <t>Send XXE payloads:
&lt;!DOCTYPE foo [&lt;!ENTITY xxe SYSTEM "file:///etc/passwd"&gt;]&gt;
&lt;foo&gt;&amp;xxe;&lt;/foo&gt;</t>
  </si>
  <si>
    <t>Local vs Remote Authentication Check</t>
  </si>
  <si>
    <t>Determine authentication location</t>
  </si>
  <si>
    <t>Test offline authentication
Intercept auth requests
Check if validation is client-side</t>
  </si>
  <si>
    <t>Response Modification Testing</t>
  </si>
  <si>
    <t>Modify responses and observe behavior</t>
  </si>
  <si>
    <t>Intercept server responses
Modify response data
Observe app behavior changes</t>
  </si>
  <si>
    <t>Credentials Storage Location and Encryption</t>
  </si>
  <si>
    <t>Locate and analyze credential storage</t>
  </si>
  <si>
    <t>Keychain-Dumper
objection -g com.app explore
ios keychain dump
Check encryption status</t>
  </si>
  <si>
    <t>Binary Cookie Investigation</t>
  </si>
  <si>
    <t>Analyze binary cookie files</t>
  </si>
  <si>
    <t>SSH, cookies.binarycookies</t>
  </si>
  <si>
    <t>cd ~/Library/Cookies/
file Cookies.binarycookies
Use BinaryCookieReader.py to parse</t>
  </si>
  <si>
    <t>File Caching Analysis</t>
  </si>
  <si>
    <t>Investigate cached files</t>
  </si>
  <si>
    <t>cd ~/Library/Caches/
cd ~/tmp/
ls -laR
cat cached_files</t>
  </si>
  <si>
    <t>Clipboard/UIPasteboard Cache Investigation</t>
  </si>
  <si>
    <t>Monitor and analyze clipboard data</t>
  </si>
  <si>
    <t>objection -g com.app explore
ios pasteboard monitor
Hook [UIPasteboard generalPasteboard]</t>
  </si>
  <si>
    <t>Memory Dump and Analysis</t>
  </si>
  <si>
    <t>Frida, lldb, gdb</t>
  </si>
  <si>
    <t>Dump and analyze process memory</t>
  </si>
  <si>
    <t>frida -U -f com.app
Memory.scan to search patterns
lldb attach
memory read &lt;address&gt;
gcore &lt;pid&gt;</t>
  </si>
  <si>
    <t>File System Access Monitoring</t>
  </si>
  <si>
    <t>Frida, fs_usage</t>
  </si>
  <si>
    <t>Monitor file operations</t>
  </si>
  <si>
    <t>fs_usage -w -f filesys | grep com.app
Hook NSFileManager methods
Monitor file read/write</t>
  </si>
  <si>
    <t>Socket Connection Monitoring</t>
  </si>
  <si>
    <t>Wireshark, lsof, netstat</t>
  </si>
  <si>
    <t>Monitor network connections</t>
  </si>
  <si>
    <t>lsof, netstat, tcpdump</t>
  </si>
  <si>
    <t>lsof -i | grep com.app
netstat -an | grep ESTABLISHED
tcpdump -i any -n</t>
  </si>
  <si>
    <t>Real-Time Packet Sniffing</t>
  </si>
  <si>
    <t>Wireshark, tcpdump, Charles</t>
  </si>
  <si>
    <t>Capture and analyze live traffic</t>
  </si>
  <si>
    <t>tcpdump -i any -w capture.pcap host &lt;device-ip&gt;
wireshark capture.pcap
Filter by app traffic</t>
  </si>
  <si>
    <t>iOS Security Testing - Comprehensive Summary</t>
  </si>
  <si>
    <t>Category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</si>
</sst>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90EE90"/>
        <bgColor rgb="FF99CCFF"/>
      </patternFill>
    </fill>
    <fill>
      <patternFill patternType="solid">
        <fgColor rgb="FFFFA500"/>
        <bgColor rgb="FFFFCC0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Normal="100" workbookViewId="0">
      <selection activeCell="H5" sqref="H5"/>
    </sheetView>
  </sheetViews>
  <sheetFormatPr defaultColWidth="8.6640625" defaultRowHeight="14.4" x14ac:dyDescent="0.3"/>
  <cols>
    <col min="1" max="1" width="28" customWidth="1"/>
    <col min="2" max="2" width="16" customWidth="1"/>
    <col min="3" max="3" width="17" customWidth="1"/>
    <col min="5" max="5" width="21" bestFit="1" customWidth="1"/>
    <col min="6" max="6" width="11.109375" customWidth="1"/>
    <col min="7" max="7" width="34.109375" customWidth="1"/>
  </cols>
  <sheetData>
    <row r="1" spans="1:7" ht="17.399999999999999" x14ac:dyDescent="0.3">
      <c r="A1" s="1" t="s">
        <v>0</v>
      </c>
      <c r="B1" s="1"/>
      <c r="C1" s="1"/>
      <c r="E1" s="1" t="s">
        <v>1118</v>
      </c>
      <c r="F1" s="1"/>
      <c r="G1" s="1"/>
    </row>
    <row r="2" spans="1:7" x14ac:dyDescent="0.3">
      <c r="E2" s="9"/>
      <c r="F2" s="9"/>
      <c r="G2" s="9"/>
    </row>
    <row r="3" spans="1:7" x14ac:dyDescent="0.3">
      <c r="A3" s="2" t="s">
        <v>1</v>
      </c>
      <c r="B3" t="s">
        <v>2</v>
      </c>
      <c r="E3" s="19" t="s">
        <v>1</v>
      </c>
      <c r="F3" s="18" t="s">
        <v>2</v>
      </c>
      <c r="G3" s="18"/>
    </row>
    <row r="4" spans="1:7" x14ac:dyDescent="0.3">
      <c r="A4" s="2" t="s">
        <v>3</v>
      </c>
      <c r="B4">
        <f>COUNTIF(Android!D:D,"Critical")</f>
        <v>37</v>
      </c>
      <c r="E4" s="19" t="s">
        <v>3</v>
      </c>
      <c r="F4" s="18">
        <v>32</v>
      </c>
      <c r="G4" s="18"/>
    </row>
    <row r="5" spans="1:7" x14ac:dyDescent="0.3">
      <c r="A5" s="2" t="s">
        <v>4</v>
      </c>
      <c r="B5">
        <f>COUNTIF(Android!D:D,"High")</f>
        <v>54</v>
      </c>
      <c r="E5" s="19" t="s">
        <v>4</v>
      </c>
      <c r="F5" s="18">
        <v>62</v>
      </c>
      <c r="G5" s="18"/>
    </row>
    <row r="6" spans="1:7" x14ac:dyDescent="0.3">
      <c r="A6" s="2" t="s">
        <v>5</v>
      </c>
      <c r="B6">
        <f>COUNTIF(Android!D:D,"Medium")</f>
        <v>24</v>
      </c>
      <c r="E6" s="19" t="s">
        <v>5</v>
      </c>
      <c r="F6" s="18">
        <v>29</v>
      </c>
      <c r="G6" s="18"/>
    </row>
    <row r="7" spans="1:7" x14ac:dyDescent="0.3">
      <c r="A7" s="2" t="s">
        <v>6</v>
      </c>
      <c r="B7">
        <f>COUNTIF(Android!D:D,"Low")</f>
        <v>8</v>
      </c>
      <c r="E7" s="19" t="s">
        <v>6</v>
      </c>
      <c r="F7" s="18">
        <v>4</v>
      </c>
      <c r="G7" s="18"/>
    </row>
    <row r="8" spans="1:7" x14ac:dyDescent="0.3">
      <c r="A8" s="2" t="s">
        <v>7</v>
      </c>
      <c r="B8">
        <f>COUNTA(Android!A:A)-1</f>
        <v>123</v>
      </c>
      <c r="E8" s="19" t="s">
        <v>7</v>
      </c>
      <c r="F8" s="18">
        <v>127</v>
      </c>
      <c r="G8" s="18"/>
    </row>
    <row r="9" spans="1:7" x14ac:dyDescent="0.3">
      <c r="E9" s="9"/>
      <c r="F9" s="9"/>
      <c r="G9" s="9"/>
    </row>
    <row r="10" spans="1:7" x14ac:dyDescent="0.3">
      <c r="A10" s="2" t="s">
        <v>8</v>
      </c>
      <c r="B10" t="s">
        <v>2</v>
      </c>
      <c r="E10" s="19" t="s">
        <v>8</v>
      </c>
      <c r="F10" s="18" t="s">
        <v>2</v>
      </c>
      <c r="G10" s="18"/>
    </row>
    <row r="11" spans="1:7" x14ac:dyDescent="0.3">
      <c r="A11" s="2" t="s">
        <v>9</v>
      </c>
      <c r="B11">
        <f>COUNTIF(Android!E:E,"Static")</f>
        <v>42</v>
      </c>
      <c r="E11" s="19" t="s">
        <v>9</v>
      </c>
      <c r="F11" s="18">
        <v>35</v>
      </c>
      <c r="G11" s="18"/>
    </row>
    <row r="12" spans="1:7" x14ac:dyDescent="0.3">
      <c r="A12" s="2" t="s">
        <v>10</v>
      </c>
      <c r="B12">
        <f>COUNTIF(Android!E:E,"Dynamic")</f>
        <v>35</v>
      </c>
      <c r="E12" s="19" t="s">
        <v>10</v>
      </c>
      <c r="F12" s="18">
        <v>50</v>
      </c>
      <c r="G12" s="18"/>
    </row>
    <row r="13" spans="1:7" x14ac:dyDescent="0.3">
      <c r="A13" s="2" t="s">
        <v>11</v>
      </c>
      <c r="B13">
        <f>COUNTIF(Android!E:E,"Network")</f>
        <v>11</v>
      </c>
      <c r="E13" s="19" t="s">
        <v>11</v>
      </c>
      <c r="F13" s="18">
        <v>17</v>
      </c>
      <c r="G13" s="18"/>
    </row>
    <row r="14" spans="1:7" x14ac:dyDescent="0.3">
      <c r="A14" s="2" t="s">
        <v>12</v>
      </c>
      <c r="B14">
        <f>COUNTIF(Android!E:E,"Exploitation")</f>
        <v>24</v>
      </c>
      <c r="E14" s="19" t="s">
        <v>12</v>
      </c>
      <c r="F14" s="18">
        <v>10</v>
      </c>
      <c r="G14" s="18"/>
    </row>
    <row r="15" spans="1:7" x14ac:dyDescent="0.3">
      <c r="A15" s="2" t="s">
        <v>13</v>
      </c>
      <c r="B15">
        <f>COUNTA(Android!E:E)-SUM(B11:B14)-1</f>
        <v>11</v>
      </c>
      <c r="E15" s="19" t="s">
        <v>13</v>
      </c>
      <c r="F15" s="18">
        <v>15</v>
      </c>
      <c r="G15" s="18"/>
    </row>
    <row r="16" spans="1:7" x14ac:dyDescent="0.3">
      <c r="E16" s="9"/>
      <c r="F16" s="9"/>
      <c r="G16" s="9"/>
    </row>
    <row r="17" spans="1:7" x14ac:dyDescent="0.3">
      <c r="A17" s="2" t="s">
        <v>14</v>
      </c>
      <c r="B17" t="s">
        <v>2</v>
      </c>
      <c r="E17" s="19" t="s">
        <v>14</v>
      </c>
      <c r="F17" s="18" t="s">
        <v>2</v>
      </c>
      <c r="G17" s="9"/>
    </row>
    <row r="18" spans="1:7" x14ac:dyDescent="0.3">
      <c r="A18" s="2" t="s">
        <v>15</v>
      </c>
      <c r="B18">
        <f>COUNTIFS(Android!K:K,"&gt;=9")</f>
        <v>0</v>
      </c>
      <c r="E18" s="19" t="s">
        <v>15</v>
      </c>
      <c r="F18" s="18">
        <v>0</v>
      </c>
      <c r="G18" s="9"/>
    </row>
    <row r="19" spans="1:7" x14ac:dyDescent="0.3">
      <c r="A19" s="2" t="s">
        <v>16</v>
      </c>
      <c r="B19">
        <f>COUNTIFS(Android!K:K,"&gt;=7",Android!K:K,"&lt;9")</f>
        <v>0</v>
      </c>
      <c r="E19" s="19" t="s">
        <v>16</v>
      </c>
      <c r="F19" s="18">
        <v>0</v>
      </c>
      <c r="G19" s="9"/>
    </row>
    <row r="20" spans="1:7" x14ac:dyDescent="0.3">
      <c r="A20" s="2" t="s">
        <v>17</v>
      </c>
      <c r="B20">
        <f>COUNTIFS(Android!K:K,"&gt;=4",Android!K:K,"&lt;7")</f>
        <v>0</v>
      </c>
      <c r="E20" s="19" t="s">
        <v>17</v>
      </c>
      <c r="F20" s="18">
        <v>0</v>
      </c>
      <c r="G20" s="9"/>
    </row>
    <row r="21" spans="1:7" x14ac:dyDescent="0.3">
      <c r="A21" s="2" t="s">
        <v>18</v>
      </c>
      <c r="B21">
        <f>COUNTIFS(Android!K:K,"&gt;=0.1",Android!K:K,"&lt;4")</f>
        <v>0</v>
      </c>
      <c r="E21" s="19" t="s">
        <v>18</v>
      </c>
      <c r="F21" s="18">
        <v>0</v>
      </c>
      <c r="G21" s="9"/>
    </row>
    <row r="22" spans="1:7" x14ac:dyDescent="0.3">
      <c r="A22" s="2" t="s">
        <v>19</v>
      </c>
      <c r="B22">
        <f>COUNTIF(Android!K:K,"0.0")</f>
        <v>2</v>
      </c>
      <c r="E22" s="19" t="s">
        <v>19</v>
      </c>
      <c r="F22" s="18">
        <v>1</v>
      </c>
      <c r="G22" s="9"/>
    </row>
    <row r="23" spans="1:7" x14ac:dyDescent="0.3">
      <c r="E23" s="9"/>
      <c r="F23" s="9"/>
      <c r="G23" s="9"/>
    </row>
    <row r="24" spans="1:7" x14ac:dyDescent="0.3">
      <c r="E24" s="19" t="s">
        <v>1119</v>
      </c>
      <c r="F24" s="18" t="s">
        <v>2</v>
      </c>
      <c r="G24" s="9"/>
    </row>
    <row r="25" spans="1:7" x14ac:dyDescent="0.3">
      <c r="E25" s="19" t="s">
        <v>32</v>
      </c>
      <c r="F25" s="18">
        <v>1</v>
      </c>
      <c r="G25" s="9"/>
    </row>
    <row r="26" spans="1:7" x14ac:dyDescent="0.3">
      <c r="E26" s="19" t="s">
        <v>40</v>
      </c>
      <c r="F26" s="18">
        <v>2</v>
      </c>
      <c r="G26" s="9"/>
    </row>
    <row r="27" spans="1:7" x14ac:dyDescent="0.3">
      <c r="E27" s="19" t="s">
        <v>62</v>
      </c>
      <c r="F27" s="18">
        <v>5</v>
      </c>
      <c r="G27" s="9"/>
    </row>
    <row r="28" spans="1:7" x14ac:dyDescent="0.3">
      <c r="E28" s="19" t="s">
        <v>134</v>
      </c>
      <c r="F28" s="18">
        <v>13</v>
      </c>
      <c r="G28" s="9"/>
    </row>
    <row r="29" spans="1:7" x14ac:dyDescent="0.3">
      <c r="E29" s="19" t="s">
        <v>11</v>
      </c>
      <c r="F29" s="18">
        <v>15</v>
      </c>
      <c r="G29" s="9"/>
    </row>
    <row r="30" spans="1:7" x14ac:dyDescent="0.3">
      <c r="E30" s="19" t="s">
        <v>164</v>
      </c>
      <c r="F30" s="18">
        <v>5</v>
      </c>
      <c r="G30" s="9"/>
    </row>
    <row r="31" spans="1:7" x14ac:dyDescent="0.3">
      <c r="E31" s="19" t="s">
        <v>249</v>
      </c>
      <c r="F31" s="18">
        <v>5</v>
      </c>
      <c r="G31" s="9"/>
    </row>
    <row r="32" spans="1:7" x14ac:dyDescent="0.3">
      <c r="E32" s="19" t="s">
        <v>281</v>
      </c>
      <c r="F32" s="18">
        <v>5</v>
      </c>
      <c r="G32" s="9"/>
    </row>
    <row r="33" spans="5:7" x14ac:dyDescent="0.3">
      <c r="E33" s="19" t="s">
        <v>329</v>
      </c>
      <c r="F33" s="18">
        <v>5</v>
      </c>
      <c r="G33" s="9"/>
    </row>
  </sheetData>
  <mergeCells count="2">
    <mergeCell ref="A1:C1"/>
    <mergeCell ref="E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42" customWidth="1"/>
    <col min="3" max="3" width="20" customWidth="1"/>
    <col min="4" max="4" width="12" customWidth="1"/>
    <col min="5" max="5" width="18" customWidth="1"/>
    <col min="6" max="7" width="35" customWidth="1"/>
    <col min="8" max="8" width="25" customWidth="1"/>
    <col min="9" max="9" width="55" customWidth="1"/>
    <col min="10" max="10" width="32" customWidth="1"/>
    <col min="11" max="11" width="12" customWidth="1"/>
  </cols>
  <sheetData>
    <row r="1" spans="1:11" x14ac:dyDescent="0.3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 x14ac:dyDescent="0.3">
      <c r="A2" s="4">
        <v>1</v>
      </c>
      <c r="B2" s="4" t="s">
        <v>31</v>
      </c>
      <c r="C2" s="4" t="s">
        <v>32</v>
      </c>
      <c r="D2" s="5" t="s">
        <v>6</v>
      </c>
      <c r="E2" s="4" t="s">
        <v>9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</row>
    <row r="3" spans="1:11" ht="28.8" x14ac:dyDescent="0.3">
      <c r="A3" s="4">
        <v>2</v>
      </c>
      <c r="B3" s="4" t="s">
        <v>39</v>
      </c>
      <c r="C3" s="4" t="s">
        <v>40</v>
      </c>
      <c r="D3" s="6" t="s">
        <v>4</v>
      </c>
      <c r="E3" s="4" t="s">
        <v>9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</row>
    <row r="4" spans="1:11" ht="28.8" x14ac:dyDescent="0.3">
      <c r="A4" s="4">
        <v>3</v>
      </c>
      <c r="B4" s="4" t="s">
        <v>47</v>
      </c>
      <c r="C4" s="4" t="s">
        <v>48</v>
      </c>
      <c r="D4" s="7" t="s">
        <v>3</v>
      </c>
      <c r="E4" s="4" t="s">
        <v>9</v>
      </c>
      <c r="F4" s="4" t="s">
        <v>49</v>
      </c>
      <c r="G4" s="4" t="s">
        <v>50</v>
      </c>
      <c r="H4" s="4" t="s">
        <v>49</v>
      </c>
      <c r="I4" s="4" t="s">
        <v>51</v>
      </c>
      <c r="J4" s="4" t="s">
        <v>52</v>
      </c>
      <c r="K4" s="4" t="s">
        <v>53</v>
      </c>
    </row>
    <row r="5" spans="1:11" ht="28.8" x14ac:dyDescent="0.3">
      <c r="A5" s="4">
        <v>4</v>
      </c>
      <c r="B5" s="4" t="s">
        <v>54</v>
      </c>
      <c r="C5" s="4" t="s">
        <v>55</v>
      </c>
      <c r="D5" s="8" t="s">
        <v>5</v>
      </c>
      <c r="E5" s="4" t="s">
        <v>9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45</v>
      </c>
      <c r="K5" s="4" t="s">
        <v>60</v>
      </c>
    </row>
    <row r="6" spans="1:11" ht="28.8" x14ac:dyDescent="0.3">
      <c r="A6" s="4">
        <v>5</v>
      </c>
      <c r="B6" s="4" t="s">
        <v>61</v>
      </c>
      <c r="C6" s="4" t="s">
        <v>62</v>
      </c>
      <c r="D6" s="6" t="s">
        <v>4</v>
      </c>
      <c r="E6" s="4" t="s">
        <v>9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53</v>
      </c>
    </row>
    <row r="7" spans="1:11" ht="28.8" x14ac:dyDescent="0.3">
      <c r="A7" s="4">
        <v>6</v>
      </c>
      <c r="B7" s="4" t="s">
        <v>68</v>
      </c>
      <c r="C7" s="4" t="s">
        <v>62</v>
      </c>
      <c r="D7" s="7" t="s">
        <v>3</v>
      </c>
      <c r="E7" s="4" t="s">
        <v>9</v>
      </c>
      <c r="F7" s="4" t="s">
        <v>69</v>
      </c>
      <c r="G7" s="4" t="s">
        <v>70</v>
      </c>
      <c r="H7" s="4" t="s">
        <v>71</v>
      </c>
      <c r="I7" s="4" t="s">
        <v>72</v>
      </c>
      <c r="J7" s="4" t="s">
        <v>67</v>
      </c>
      <c r="K7" s="4" t="s">
        <v>73</v>
      </c>
    </row>
    <row r="8" spans="1:11" ht="28.8" x14ac:dyDescent="0.3">
      <c r="A8" s="4">
        <v>7</v>
      </c>
      <c r="B8" s="4" t="s">
        <v>74</v>
      </c>
      <c r="C8" s="4" t="s">
        <v>62</v>
      </c>
      <c r="D8" s="6" t="s">
        <v>4</v>
      </c>
      <c r="E8" s="4" t="s">
        <v>9</v>
      </c>
      <c r="F8" s="4" t="s">
        <v>75</v>
      </c>
      <c r="G8" s="4" t="s">
        <v>76</v>
      </c>
      <c r="H8" s="4" t="s">
        <v>77</v>
      </c>
      <c r="I8" s="4" t="s">
        <v>78</v>
      </c>
      <c r="J8" s="4" t="s">
        <v>79</v>
      </c>
      <c r="K8" s="4" t="s">
        <v>53</v>
      </c>
    </row>
    <row r="9" spans="1:11" ht="28.8" x14ac:dyDescent="0.3">
      <c r="A9" s="4">
        <v>8</v>
      </c>
      <c r="B9" s="4" t="s">
        <v>80</v>
      </c>
      <c r="C9" s="4" t="s">
        <v>62</v>
      </c>
      <c r="D9" s="6" t="s">
        <v>4</v>
      </c>
      <c r="E9" s="4" t="s">
        <v>9</v>
      </c>
      <c r="F9" s="4" t="s">
        <v>71</v>
      </c>
      <c r="G9" s="4" t="s">
        <v>81</v>
      </c>
      <c r="H9" s="4" t="s">
        <v>71</v>
      </c>
      <c r="I9" s="4" t="s">
        <v>82</v>
      </c>
      <c r="J9" s="4" t="s">
        <v>83</v>
      </c>
      <c r="K9" s="4" t="s">
        <v>46</v>
      </c>
    </row>
    <row r="10" spans="1:11" ht="28.8" x14ac:dyDescent="0.3">
      <c r="A10" s="4">
        <v>9</v>
      </c>
      <c r="B10" s="4" t="s">
        <v>84</v>
      </c>
      <c r="C10" s="4" t="s">
        <v>85</v>
      </c>
      <c r="D10" s="6" t="s">
        <v>4</v>
      </c>
      <c r="E10" s="4" t="s">
        <v>9</v>
      </c>
      <c r="F10" s="4" t="s">
        <v>86</v>
      </c>
      <c r="G10" s="4" t="s">
        <v>87</v>
      </c>
      <c r="H10" s="4" t="s">
        <v>33</v>
      </c>
      <c r="I10" s="4" t="s">
        <v>88</v>
      </c>
      <c r="J10" s="4" t="s">
        <v>45</v>
      </c>
      <c r="K10" s="4" t="s">
        <v>89</v>
      </c>
    </row>
    <row r="11" spans="1:11" ht="28.8" x14ac:dyDescent="0.3">
      <c r="A11" s="4">
        <v>10</v>
      </c>
      <c r="B11" s="4" t="s">
        <v>90</v>
      </c>
      <c r="C11" s="4" t="s">
        <v>85</v>
      </c>
      <c r="D11" s="6" t="s">
        <v>4</v>
      </c>
      <c r="E11" s="4" t="s">
        <v>9</v>
      </c>
      <c r="F11" s="4" t="s">
        <v>86</v>
      </c>
      <c r="G11" s="4" t="s">
        <v>91</v>
      </c>
      <c r="H11" s="4" t="s">
        <v>92</v>
      </c>
      <c r="I11" s="4" t="s">
        <v>93</v>
      </c>
      <c r="J11" s="4" t="s">
        <v>83</v>
      </c>
      <c r="K11" s="4" t="s">
        <v>89</v>
      </c>
    </row>
    <row r="12" spans="1:11" ht="28.8" x14ac:dyDescent="0.3">
      <c r="A12" s="4">
        <v>11</v>
      </c>
      <c r="B12" s="4" t="s">
        <v>94</v>
      </c>
      <c r="C12" s="4" t="s">
        <v>95</v>
      </c>
      <c r="D12" s="7" t="s">
        <v>3</v>
      </c>
      <c r="E12" s="4" t="s">
        <v>9</v>
      </c>
      <c r="F12" s="4" t="s">
        <v>86</v>
      </c>
      <c r="G12" s="4" t="s">
        <v>96</v>
      </c>
      <c r="H12" s="4" t="s">
        <v>97</v>
      </c>
      <c r="I12" s="4" t="s">
        <v>98</v>
      </c>
      <c r="J12" s="4" t="s">
        <v>99</v>
      </c>
      <c r="K12" s="4" t="s">
        <v>100</v>
      </c>
    </row>
    <row r="13" spans="1:11" x14ac:dyDescent="0.3">
      <c r="A13" s="4">
        <v>12</v>
      </c>
      <c r="B13" s="4" t="s">
        <v>101</v>
      </c>
      <c r="C13" s="4" t="s">
        <v>95</v>
      </c>
      <c r="D13" s="8" t="s">
        <v>5</v>
      </c>
      <c r="E13" s="4" t="s">
        <v>9</v>
      </c>
      <c r="F13" s="4" t="s">
        <v>102</v>
      </c>
      <c r="G13" s="4" t="s">
        <v>103</v>
      </c>
      <c r="H13" s="4" t="s">
        <v>104</v>
      </c>
      <c r="I13" s="4" t="s">
        <v>105</v>
      </c>
      <c r="J13" s="4" t="s">
        <v>99</v>
      </c>
      <c r="K13" s="4" t="s">
        <v>46</v>
      </c>
    </row>
    <row r="14" spans="1:11" ht="28.8" x14ac:dyDescent="0.3">
      <c r="A14" s="4">
        <v>13</v>
      </c>
      <c r="B14" s="4" t="s">
        <v>106</v>
      </c>
      <c r="C14" s="4" t="s">
        <v>95</v>
      </c>
      <c r="D14" s="6" t="s">
        <v>4</v>
      </c>
      <c r="E14" s="4" t="s">
        <v>9</v>
      </c>
      <c r="F14" s="4" t="s">
        <v>107</v>
      </c>
      <c r="G14" s="4" t="s">
        <v>108</v>
      </c>
      <c r="H14" s="4" t="s">
        <v>33</v>
      </c>
      <c r="I14" s="4" t="s">
        <v>109</v>
      </c>
      <c r="J14" s="4" t="s">
        <v>99</v>
      </c>
      <c r="K14" s="4" t="s">
        <v>46</v>
      </c>
    </row>
    <row r="15" spans="1:11" x14ac:dyDescent="0.3">
      <c r="A15" s="4">
        <v>14</v>
      </c>
      <c r="B15" s="4" t="s">
        <v>110</v>
      </c>
      <c r="C15" s="4" t="s">
        <v>111</v>
      </c>
      <c r="D15" s="6" t="s">
        <v>4</v>
      </c>
      <c r="E15" s="4" t="s">
        <v>9</v>
      </c>
      <c r="F15" s="4" t="s">
        <v>86</v>
      </c>
      <c r="G15" s="4" t="s">
        <v>112</v>
      </c>
      <c r="H15" s="4" t="s">
        <v>104</v>
      </c>
      <c r="I15" s="4" t="s">
        <v>113</v>
      </c>
      <c r="J15" s="4" t="s">
        <v>99</v>
      </c>
      <c r="K15" s="4" t="s">
        <v>89</v>
      </c>
    </row>
    <row r="16" spans="1:11" x14ac:dyDescent="0.3">
      <c r="A16" s="4">
        <v>15</v>
      </c>
      <c r="B16" s="4" t="s">
        <v>114</v>
      </c>
      <c r="C16" s="4" t="s">
        <v>55</v>
      </c>
      <c r="D16" s="5" t="s">
        <v>6</v>
      </c>
      <c r="E16" s="4" t="s">
        <v>9</v>
      </c>
      <c r="F16" s="4" t="s">
        <v>115</v>
      </c>
      <c r="G16" s="4" t="s">
        <v>116</v>
      </c>
      <c r="H16" s="4" t="s">
        <v>104</v>
      </c>
      <c r="I16" s="4" t="s">
        <v>117</v>
      </c>
      <c r="J16" s="4" t="s">
        <v>37</v>
      </c>
      <c r="K16" s="4" t="s">
        <v>46</v>
      </c>
    </row>
    <row r="17" spans="1:11" ht="28.8" x14ac:dyDescent="0.3">
      <c r="A17" s="4">
        <v>16</v>
      </c>
      <c r="B17" s="4" t="s">
        <v>118</v>
      </c>
      <c r="C17" s="4" t="s">
        <v>11</v>
      </c>
      <c r="D17" s="6" t="s">
        <v>4</v>
      </c>
      <c r="E17" s="4" t="s">
        <v>9</v>
      </c>
      <c r="F17" s="4" t="s">
        <v>119</v>
      </c>
      <c r="G17" s="4" t="s">
        <v>120</v>
      </c>
      <c r="H17" s="4" t="s">
        <v>121</v>
      </c>
      <c r="I17" s="4" t="s">
        <v>122</v>
      </c>
      <c r="J17" s="4" t="s">
        <v>123</v>
      </c>
      <c r="K17" s="4" t="s">
        <v>124</v>
      </c>
    </row>
    <row r="18" spans="1:11" ht="43.2" x14ac:dyDescent="0.3">
      <c r="A18" s="4">
        <v>17</v>
      </c>
      <c r="B18" s="4" t="s">
        <v>125</v>
      </c>
      <c r="C18" s="4" t="s">
        <v>126</v>
      </c>
      <c r="D18" s="7" t="s">
        <v>3</v>
      </c>
      <c r="E18" s="4" t="s">
        <v>127</v>
      </c>
      <c r="F18" s="4" t="s">
        <v>128</v>
      </c>
      <c r="G18" s="4" t="s">
        <v>129</v>
      </c>
      <c r="H18" s="4" t="s">
        <v>130</v>
      </c>
      <c r="I18" s="4" t="s">
        <v>131</v>
      </c>
      <c r="J18" s="4" t="s">
        <v>132</v>
      </c>
      <c r="K18" s="4" t="s">
        <v>53</v>
      </c>
    </row>
    <row r="19" spans="1:11" ht="28.8" x14ac:dyDescent="0.3">
      <c r="A19" s="4">
        <v>18</v>
      </c>
      <c r="B19" s="4" t="s">
        <v>133</v>
      </c>
      <c r="C19" s="4" t="s">
        <v>134</v>
      </c>
      <c r="D19" s="7" t="s">
        <v>3</v>
      </c>
      <c r="E19" s="4" t="s">
        <v>127</v>
      </c>
      <c r="F19" s="4" t="s">
        <v>135</v>
      </c>
      <c r="G19" s="4" t="s">
        <v>136</v>
      </c>
      <c r="H19" s="4" t="s">
        <v>137</v>
      </c>
      <c r="I19" s="4" t="s">
        <v>138</v>
      </c>
      <c r="J19" s="4" t="s">
        <v>132</v>
      </c>
      <c r="K19" s="4" t="s">
        <v>53</v>
      </c>
    </row>
    <row r="20" spans="1:11" ht="43.2" x14ac:dyDescent="0.3">
      <c r="A20" s="4">
        <v>19</v>
      </c>
      <c r="B20" s="4" t="s">
        <v>139</v>
      </c>
      <c r="C20" s="4" t="s">
        <v>134</v>
      </c>
      <c r="D20" s="6" t="s">
        <v>4</v>
      </c>
      <c r="E20" s="4" t="s">
        <v>10</v>
      </c>
      <c r="F20" s="4" t="s">
        <v>140</v>
      </c>
      <c r="G20" s="4" t="s">
        <v>141</v>
      </c>
      <c r="H20" s="4" t="s">
        <v>142</v>
      </c>
      <c r="I20" s="4" t="s">
        <v>143</v>
      </c>
      <c r="J20" s="4" t="s">
        <v>132</v>
      </c>
      <c r="K20" s="4" t="s">
        <v>89</v>
      </c>
    </row>
    <row r="21" spans="1:11" ht="28.8" x14ac:dyDescent="0.3">
      <c r="A21" s="4">
        <v>20</v>
      </c>
      <c r="B21" s="4" t="s">
        <v>144</v>
      </c>
      <c r="C21" s="4" t="s">
        <v>134</v>
      </c>
      <c r="D21" s="6" t="s">
        <v>4</v>
      </c>
      <c r="E21" s="4" t="s">
        <v>10</v>
      </c>
      <c r="F21" s="4" t="s">
        <v>140</v>
      </c>
      <c r="G21" s="4" t="s">
        <v>145</v>
      </c>
      <c r="H21" s="4" t="s">
        <v>142</v>
      </c>
      <c r="I21" s="4" t="s">
        <v>146</v>
      </c>
      <c r="J21" s="4" t="s">
        <v>132</v>
      </c>
      <c r="K21" s="4" t="s">
        <v>89</v>
      </c>
    </row>
    <row r="22" spans="1:11" ht="43.2" x14ac:dyDescent="0.3">
      <c r="A22" s="4">
        <v>21</v>
      </c>
      <c r="B22" s="4" t="s">
        <v>147</v>
      </c>
      <c r="C22" s="4" t="s">
        <v>134</v>
      </c>
      <c r="D22" s="6" t="s">
        <v>4</v>
      </c>
      <c r="E22" s="4" t="s">
        <v>10</v>
      </c>
      <c r="F22" s="4" t="s">
        <v>148</v>
      </c>
      <c r="G22" s="4" t="s">
        <v>149</v>
      </c>
      <c r="H22" s="4" t="s">
        <v>142</v>
      </c>
      <c r="I22" s="4" t="s">
        <v>150</v>
      </c>
      <c r="J22" s="4" t="s">
        <v>132</v>
      </c>
      <c r="K22" s="4" t="s">
        <v>89</v>
      </c>
    </row>
    <row r="23" spans="1:11" ht="28.8" x14ac:dyDescent="0.3">
      <c r="A23" s="4">
        <v>22</v>
      </c>
      <c r="B23" s="4" t="s">
        <v>151</v>
      </c>
      <c r="C23" s="4" t="s">
        <v>152</v>
      </c>
      <c r="D23" s="7" t="s">
        <v>3</v>
      </c>
      <c r="E23" s="4" t="s">
        <v>10</v>
      </c>
      <c r="F23" s="4" t="s">
        <v>153</v>
      </c>
      <c r="G23" s="4" t="s">
        <v>154</v>
      </c>
      <c r="H23" s="4" t="s">
        <v>155</v>
      </c>
      <c r="I23" s="4" t="s">
        <v>156</v>
      </c>
      <c r="J23" s="4" t="s">
        <v>132</v>
      </c>
      <c r="K23" s="4" t="s">
        <v>53</v>
      </c>
    </row>
    <row r="24" spans="1:11" ht="28.8" x14ac:dyDescent="0.3">
      <c r="A24" s="4">
        <v>23</v>
      </c>
      <c r="B24" s="4" t="s">
        <v>157</v>
      </c>
      <c r="C24" s="4" t="s">
        <v>158</v>
      </c>
      <c r="D24" s="8" t="s">
        <v>5</v>
      </c>
      <c r="E24" s="4" t="s">
        <v>10</v>
      </c>
      <c r="F24" s="4" t="s">
        <v>159</v>
      </c>
      <c r="G24" s="4" t="s">
        <v>160</v>
      </c>
      <c r="H24" s="4" t="s">
        <v>161</v>
      </c>
      <c r="I24" s="4" t="s">
        <v>162</v>
      </c>
      <c r="J24" s="4" t="s">
        <v>132</v>
      </c>
      <c r="K24" s="4" t="s">
        <v>60</v>
      </c>
    </row>
    <row r="25" spans="1:11" ht="28.8" x14ac:dyDescent="0.3">
      <c r="A25" s="4">
        <v>24</v>
      </c>
      <c r="B25" s="4" t="s">
        <v>163</v>
      </c>
      <c r="C25" s="4" t="s">
        <v>164</v>
      </c>
      <c r="D25" s="6" t="s">
        <v>4</v>
      </c>
      <c r="E25" s="4" t="s">
        <v>10</v>
      </c>
      <c r="F25" s="4" t="s">
        <v>165</v>
      </c>
      <c r="G25" s="4" t="s">
        <v>166</v>
      </c>
      <c r="H25" s="4" t="s">
        <v>167</v>
      </c>
      <c r="I25" s="4" t="s">
        <v>168</v>
      </c>
      <c r="J25" s="4" t="s">
        <v>67</v>
      </c>
      <c r="K25" s="4" t="s">
        <v>89</v>
      </c>
    </row>
    <row r="26" spans="1:11" ht="43.2" x14ac:dyDescent="0.3">
      <c r="A26" s="4">
        <v>25</v>
      </c>
      <c r="B26" s="4" t="s">
        <v>169</v>
      </c>
      <c r="C26" s="4" t="s">
        <v>164</v>
      </c>
      <c r="D26" s="7" t="s">
        <v>3</v>
      </c>
      <c r="E26" s="4" t="s">
        <v>10</v>
      </c>
      <c r="F26" s="4" t="s">
        <v>170</v>
      </c>
      <c r="G26" s="4" t="s">
        <v>171</v>
      </c>
      <c r="H26" s="4" t="s">
        <v>172</v>
      </c>
      <c r="I26" s="4" t="s">
        <v>173</v>
      </c>
      <c r="J26" s="4" t="s">
        <v>67</v>
      </c>
      <c r="K26" s="4" t="s">
        <v>100</v>
      </c>
    </row>
    <row r="27" spans="1:11" ht="28.8" x14ac:dyDescent="0.3">
      <c r="A27" s="4">
        <v>26</v>
      </c>
      <c r="B27" s="4" t="s">
        <v>174</v>
      </c>
      <c r="C27" s="4" t="s">
        <v>164</v>
      </c>
      <c r="D27" s="6" t="s">
        <v>4</v>
      </c>
      <c r="E27" s="4" t="s">
        <v>10</v>
      </c>
      <c r="F27" s="4" t="s">
        <v>175</v>
      </c>
      <c r="G27" s="4" t="s">
        <v>176</v>
      </c>
      <c r="H27" s="4" t="s">
        <v>177</v>
      </c>
      <c r="I27" s="4" t="s">
        <v>178</v>
      </c>
      <c r="J27" s="4" t="s">
        <v>67</v>
      </c>
      <c r="K27" s="4" t="s">
        <v>89</v>
      </c>
    </row>
    <row r="28" spans="1:11" ht="28.8" x14ac:dyDescent="0.3">
      <c r="A28" s="4">
        <v>27</v>
      </c>
      <c r="B28" s="4" t="s">
        <v>179</v>
      </c>
      <c r="C28" s="4" t="s">
        <v>164</v>
      </c>
      <c r="D28" s="6" t="s">
        <v>4</v>
      </c>
      <c r="E28" s="4" t="s">
        <v>10</v>
      </c>
      <c r="F28" s="4" t="s">
        <v>180</v>
      </c>
      <c r="G28" s="4" t="s">
        <v>181</v>
      </c>
      <c r="H28" s="4" t="s">
        <v>182</v>
      </c>
      <c r="I28" s="4" t="s">
        <v>183</v>
      </c>
      <c r="J28" s="4" t="s">
        <v>67</v>
      </c>
      <c r="K28" s="4" t="s">
        <v>89</v>
      </c>
    </row>
    <row r="29" spans="1:11" ht="28.8" x14ac:dyDescent="0.3">
      <c r="A29" s="4">
        <v>28</v>
      </c>
      <c r="B29" s="4" t="s">
        <v>184</v>
      </c>
      <c r="C29" s="4" t="s">
        <v>164</v>
      </c>
      <c r="D29" s="7" t="s">
        <v>3</v>
      </c>
      <c r="E29" s="4" t="s">
        <v>10</v>
      </c>
      <c r="F29" s="4" t="s">
        <v>185</v>
      </c>
      <c r="G29" s="4" t="s">
        <v>186</v>
      </c>
      <c r="H29" s="4" t="s">
        <v>187</v>
      </c>
      <c r="I29" s="4" t="s">
        <v>188</v>
      </c>
      <c r="J29" s="4" t="s">
        <v>67</v>
      </c>
      <c r="K29" s="4" t="s">
        <v>53</v>
      </c>
    </row>
    <row r="30" spans="1:11" ht="28.8" x14ac:dyDescent="0.3">
      <c r="A30" s="4">
        <v>29</v>
      </c>
      <c r="B30" s="4" t="s">
        <v>189</v>
      </c>
      <c r="C30" s="4" t="s">
        <v>164</v>
      </c>
      <c r="D30" s="7" t="s">
        <v>3</v>
      </c>
      <c r="E30" s="4" t="s">
        <v>10</v>
      </c>
      <c r="F30" s="4" t="s">
        <v>190</v>
      </c>
      <c r="G30" s="4" t="s">
        <v>191</v>
      </c>
      <c r="H30" s="4" t="s">
        <v>192</v>
      </c>
      <c r="I30" s="4" t="s">
        <v>193</v>
      </c>
      <c r="J30" s="4" t="s">
        <v>67</v>
      </c>
      <c r="K30" s="4" t="s">
        <v>53</v>
      </c>
    </row>
    <row r="31" spans="1:11" ht="28.8" x14ac:dyDescent="0.3">
      <c r="A31" s="4">
        <v>30</v>
      </c>
      <c r="B31" s="4" t="s">
        <v>194</v>
      </c>
      <c r="C31" s="4" t="s">
        <v>195</v>
      </c>
      <c r="D31" s="6" t="s">
        <v>4</v>
      </c>
      <c r="E31" s="4" t="s">
        <v>10</v>
      </c>
      <c r="F31" s="4" t="s">
        <v>196</v>
      </c>
      <c r="G31" s="4" t="s">
        <v>197</v>
      </c>
      <c r="H31" s="4" t="s">
        <v>198</v>
      </c>
      <c r="I31" s="4" t="s">
        <v>199</v>
      </c>
      <c r="J31" s="4" t="s">
        <v>200</v>
      </c>
      <c r="K31" s="4" t="s">
        <v>46</v>
      </c>
    </row>
    <row r="32" spans="1:11" ht="28.8" x14ac:dyDescent="0.3">
      <c r="A32" s="4">
        <v>31</v>
      </c>
      <c r="B32" s="4" t="s">
        <v>201</v>
      </c>
      <c r="C32" s="4" t="s">
        <v>195</v>
      </c>
      <c r="D32" s="6" t="s">
        <v>4</v>
      </c>
      <c r="E32" s="4" t="s">
        <v>10</v>
      </c>
      <c r="F32" s="4" t="s">
        <v>202</v>
      </c>
      <c r="G32" s="4" t="s">
        <v>203</v>
      </c>
      <c r="H32" s="4" t="s">
        <v>204</v>
      </c>
      <c r="I32" s="4" t="s">
        <v>205</v>
      </c>
      <c r="J32" s="4" t="s">
        <v>200</v>
      </c>
      <c r="K32" s="4" t="s">
        <v>89</v>
      </c>
    </row>
    <row r="33" spans="1:11" ht="28.8" x14ac:dyDescent="0.3">
      <c r="A33" s="4">
        <v>32</v>
      </c>
      <c r="B33" s="4" t="s">
        <v>206</v>
      </c>
      <c r="C33" s="4" t="s">
        <v>195</v>
      </c>
      <c r="D33" s="8" t="s">
        <v>5</v>
      </c>
      <c r="E33" s="4" t="s">
        <v>10</v>
      </c>
      <c r="F33" s="4" t="s">
        <v>207</v>
      </c>
      <c r="G33" s="4" t="s">
        <v>208</v>
      </c>
      <c r="H33" s="4" t="s">
        <v>209</v>
      </c>
      <c r="I33" s="4" t="s">
        <v>210</v>
      </c>
      <c r="J33" s="4" t="s">
        <v>200</v>
      </c>
      <c r="K33" s="4" t="s">
        <v>60</v>
      </c>
    </row>
    <row r="34" spans="1:11" ht="28.8" x14ac:dyDescent="0.3">
      <c r="A34" s="4">
        <v>33</v>
      </c>
      <c r="B34" s="4" t="s">
        <v>211</v>
      </c>
      <c r="C34" s="4" t="s">
        <v>195</v>
      </c>
      <c r="D34" s="8" t="s">
        <v>5</v>
      </c>
      <c r="E34" s="4" t="s">
        <v>10</v>
      </c>
      <c r="F34" s="4" t="s">
        <v>212</v>
      </c>
      <c r="G34" s="4" t="s">
        <v>213</v>
      </c>
      <c r="H34" s="4" t="s">
        <v>214</v>
      </c>
      <c r="I34" s="4" t="s">
        <v>215</v>
      </c>
      <c r="J34" s="4" t="s">
        <v>200</v>
      </c>
      <c r="K34" s="4" t="s">
        <v>60</v>
      </c>
    </row>
    <row r="35" spans="1:11" x14ac:dyDescent="0.3">
      <c r="A35" s="4">
        <v>34</v>
      </c>
      <c r="B35" s="4" t="s">
        <v>216</v>
      </c>
      <c r="C35" s="4" t="s">
        <v>11</v>
      </c>
      <c r="D35" s="6" t="s">
        <v>4</v>
      </c>
      <c r="E35" s="4" t="s">
        <v>217</v>
      </c>
      <c r="F35" s="4" t="s">
        <v>218</v>
      </c>
      <c r="G35" s="4" t="s">
        <v>219</v>
      </c>
      <c r="H35" s="4" t="s">
        <v>71</v>
      </c>
      <c r="I35" s="4" t="s">
        <v>220</v>
      </c>
      <c r="J35" s="4" t="s">
        <v>123</v>
      </c>
      <c r="K35" s="4" t="s">
        <v>89</v>
      </c>
    </row>
    <row r="36" spans="1:11" ht="28.8" x14ac:dyDescent="0.3">
      <c r="A36" s="4">
        <v>35</v>
      </c>
      <c r="B36" s="4" t="s">
        <v>221</v>
      </c>
      <c r="C36" s="4" t="s">
        <v>11</v>
      </c>
      <c r="D36" s="7" t="s">
        <v>3</v>
      </c>
      <c r="E36" s="4" t="s">
        <v>10</v>
      </c>
      <c r="F36" s="4" t="s">
        <v>222</v>
      </c>
      <c r="G36" s="4" t="s">
        <v>223</v>
      </c>
      <c r="H36" s="4" t="s">
        <v>187</v>
      </c>
      <c r="I36" s="4" t="s">
        <v>224</v>
      </c>
      <c r="J36" s="4" t="s">
        <v>123</v>
      </c>
      <c r="K36" s="4" t="s">
        <v>124</v>
      </c>
    </row>
    <row r="37" spans="1:11" ht="43.2" x14ac:dyDescent="0.3">
      <c r="A37" s="4">
        <v>36</v>
      </c>
      <c r="B37" s="4" t="s">
        <v>225</v>
      </c>
      <c r="C37" s="4" t="s">
        <v>11</v>
      </c>
      <c r="D37" s="7" t="s">
        <v>3</v>
      </c>
      <c r="E37" s="4" t="s">
        <v>11</v>
      </c>
      <c r="F37" s="4" t="s">
        <v>226</v>
      </c>
      <c r="G37" s="4" t="s">
        <v>227</v>
      </c>
      <c r="H37" s="4" t="s">
        <v>172</v>
      </c>
      <c r="I37" s="4" t="s">
        <v>228</v>
      </c>
      <c r="J37" s="4" t="s">
        <v>123</v>
      </c>
      <c r="K37" s="4" t="s">
        <v>100</v>
      </c>
    </row>
    <row r="38" spans="1:11" ht="28.8" x14ac:dyDescent="0.3">
      <c r="A38" s="4">
        <v>37</v>
      </c>
      <c r="B38" s="4" t="s">
        <v>229</v>
      </c>
      <c r="C38" s="4" t="s">
        <v>11</v>
      </c>
      <c r="D38" s="7" t="s">
        <v>3</v>
      </c>
      <c r="E38" s="4" t="s">
        <v>11</v>
      </c>
      <c r="F38" s="4" t="s">
        <v>230</v>
      </c>
      <c r="G38" s="4" t="s">
        <v>231</v>
      </c>
      <c r="H38" s="4" t="s">
        <v>232</v>
      </c>
      <c r="I38" s="4" t="s">
        <v>233</v>
      </c>
      <c r="J38" s="4" t="s">
        <v>123</v>
      </c>
      <c r="K38" s="4" t="s">
        <v>124</v>
      </c>
    </row>
    <row r="39" spans="1:11" ht="28.8" x14ac:dyDescent="0.3">
      <c r="A39" s="4">
        <v>38</v>
      </c>
      <c r="B39" s="4" t="s">
        <v>234</v>
      </c>
      <c r="C39" s="4" t="s">
        <v>11</v>
      </c>
      <c r="D39" s="7" t="s">
        <v>3</v>
      </c>
      <c r="E39" s="4" t="s">
        <v>11</v>
      </c>
      <c r="F39" s="4" t="s">
        <v>235</v>
      </c>
      <c r="G39" s="4" t="s">
        <v>236</v>
      </c>
      <c r="H39" s="4" t="s">
        <v>237</v>
      </c>
      <c r="I39" s="4" t="s">
        <v>238</v>
      </c>
      <c r="J39" s="4" t="s">
        <v>123</v>
      </c>
      <c r="K39" s="4" t="s">
        <v>124</v>
      </c>
    </row>
    <row r="40" spans="1:11" x14ac:dyDescent="0.3">
      <c r="A40" s="4">
        <v>39</v>
      </c>
      <c r="B40" s="4" t="s">
        <v>239</v>
      </c>
      <c r="C40" s="4" t="s">
        <v>11</v>
      </c>
      <c r="D40" s="7" t="s">
        <v>3</v>
      </c>
      <c r="E40" s="4" t="s">
        <v>240</v>
      </c>
      <c r="F40" s="4" t="s">
        <v>241</v>
      </c>
      <c r="G40" s="4" t="s">
        <v>242</v>
      </c>
      <c r="H40" s="4" t="s">
        <v>71</v>
      </c>
      <c r="I40" s="4" t="s">
        <v>243</v>
      </c>
      <c r="J40" s="4" t="s">
        <v>123</v>
      </c>
      <c r="K40" s="4" t="s">
        <v>124</v>
      </c>
    </row>
    <row r="41" spans="1:11" ht="28.8" x14ac:dyDescent="0.3">
      <c r="A41" s="4">
        <v>40</v>
      </c>
      <c r="B41" s="4" t="s">
        <v>244</v>
      </c>
      <c r="C41" s="4" t="s">
        <v>11</v>
      </c>
      <c r="D41" s="6" t="s">
        <v>4</v>
      </c>
      <c r="E41" s="4" t="s">
        <v>11</v>
      </c>
      <c r="F41" s="4" t="s">
        <v>245</v>
      </c>
      <c r="G41" s="4" t="s">
        <v>246</v>
      </c>
      <c r="H41" s="4" t="s">
        <v>177</v>
      </c>
      <c r="I41" s="4" t="s">
        <v>247</v>
      </c>
      <c r="J41" s="4" t="s">
        <v>123</v>
      </c>
      <c r="K41" s="4" t="s">
        <v>89</v>
      </c>
    </row>
    <row r="42" spans="1:11" ht="28.8" x14ac:dyDescent="0.3">
      <c r="A42" s="4">
        <v>41</v>
      </c>
      <c r="B42" s="4" t="s">
        <v>248</v>
      </c>
      <c r="C42" s="4" t="s">
        <v>249</v>
      </c>
      <c r="D42" s="6" t="s">
        <v>4</v>
      </c>
      <c r="E42" s="4" t="s">
        <v>9</v>
      </c>
      <c r="F42" s="4" t="s">
        <v>71</v>
      </c>
      <c r="G42" s="4" t="s">
        <v>250</v>
      </c>
      <c r="H42" s="4" t="s">
        <v>71</v>
      </c>
      <c r="I42" s="4" t="s">
        <v>251</v>
      </c>
      <c r="J42" s="4" t="s">
        <v>52</v>
      </c>
      <c r="K42" s="4" t="s">
        <v>53</v>
      </c>
    </row>
    <row r="43" spans="1:11" ht="28.8" x14ac:dyDescent="0.3">
      <c r="A43" s="4">
        <v>42</v>
      </c>
      <c r="B43" s="4" t="s">
        <v>252</v>
      </c>
      <c r="C43" s="4" t="s">
        <v>249</v>
      </c>
      <c r="D43" s="7" t="s">
        <v>3</v>
      </c>
      <c r="E43" s="4" t="s">
        <v>9</v>
      </c>
      <c r="F43" s="4" t="s">
        <v>253</v>
      </c>
      <c r="G43" s="4" t="s">
        <v>254</v>
      </c>
      <c r="H43" s="4" t="s">
        <v>71</v>
      </c>
      <c r="I43" s="4" t="s">
        <v>255</v>
      </c>
      <c r="J43" s="4" t="s">
        <v>52</v>
      </c>
      <c r="K43" s="4" t="s">
        <v>256</v>
      </c>
    </row>
    <row r="44" spans="1:11" ht="28.8" x14ac:dyDescent="0.3">
      <c r="A44" s="4">
        <v>43</v>
      </c>
      <c r="B44" s="4" t="s">
        <v>257</v>
      </c>
      <c r="C44" s="4" t="s">
        <v>249</v>
      </c>
      <c r="D44" s="6" t="s">
        <v>4</v>
      </c>
      <c r="E44" s="4" t="s">
        <v>9</v>
      </c>
      <c r="F44" s="4" t="s">
        <v>258</v>
      </c>
      <c r="G44" s="4" t="s">
        <v>259</v>
      </c>
      <c r="H44" s="4" t="s">
        <v>260</v>
      </c>
      <c r="I44" s="4" t="s">
        <v>261</v>
      </c>
      <c r="J44" s="4" t="s">
        <v>52</v>
      </c>
      <c r="K44" s="4" t="s">
        <v>89</v>
      </c>
    </row>
    <row r="45" spans="1:11" ht="28.8" x14ac:dyDescent="0.3">
      <c r="A45" s="4">
        <v>44</v>
      </c>
      <c r="B45" s="4" t="s">
        <v>262</v>
      </c>
      <c r="C45" s="4" t="s">
        <v>263</v>
      </c>
      <c r="D45" s="6" t="s">
        <v>4</v>
      </c>
      <c r="E45" s="4" t="s">
        <v>9</v>
      </c>
      <c r="F45" s="4" t="s">
        <v>264</v>
      </c>
      <c r="G45" s="4" t="s">
        <v>265</v>
      </c>
      <c r="H45" s="4" t="s">
        <v>142</v>
      </c>
      <c r="I45" s="4" t="s">
        <v>266</v>
      </c>
      <c r="J45" s="4" t="s">
        <v>83</v>
      </c>
      <c r="K45" s="4" t="s">
        <v>89</v>
      </c>
    </row>
    <row r="46" spans="1:11" ht="28.8" x14ac:dyDescent="0.3">
      <c r="A46" s="4">
        <v>45</v>
      </c>
      <c r="B46" s="4" t="s">
        <v>267</v>
      </c>
      <c r="C46" s="4" t="s">
        <v>158</v>
      </c>
      <c r="D46" s="6" t="s">
        <v>4</v>
      </c>
      <c r="E46" s="4" t="s">
        <v>217</v>
      </c>
      <c r="F46" s="4" t="s">
        <v>268</v>
      </c>
      <c r="G46" s="4" t="s">
        <v>269</v>
      </c>
      <c r="H46" s="4" t="s">
        <v>270</v>
      </c>
      <c r="I46" s="4" t="s">
        <v>271</v>
      </c>
      <c r="J46" s="4" t="s">
        <v>83</v>
      </c>
      <c r="K46" s="4" t="s">
        <v>46</v>
      </c>
    </row>
    <row r="47" spans="1:11" ht="43.2" x14ac:dyDescent="0.3">
      <c r="A47" s="4">
        <v>46</v>
      </c>
      <c r="B47" s="4" t="s">
        <v>272</v>
      </c>
      <c r="C47" s="4" t="s">
        <v>158</v>
      </c>
      <c r="D47" s="6" t="s">
        <v>4</v>
      </c>
      <c r="E47" s="4" t="s">
        <v>10</v>
      </c>
      <c r="F47" s="4" t="s">
        <v>273</v>
      </c>
      <c r="G47" s="4" t="s">
        <v>274</v>
      </c>
      <c r="H47" s="4" t="s">
        <v>275</v>
      </c>
      <c r="I47" s="4" t="s">
        <v>276</v>
      </c>
      <c r="J47" s="4" t="s">
        <v>132</v>
      </c>
      <c r="K47" s="4" t="s">
        <v>46</v>
      </c>
    </row>
    <row r="48" spans="1:11" ht="28.8" x14ac:dyDescent="0.3">
      <c r="A48" s="4">
        <v>47</v>
      </c>
      <c r="B48" s="4" t="s">
        <v>277</v>
      </c>
      <c r="C48" s="4" t="s">
        <v>158</v>
      </c>
      <c r="D48" s="6" t="s">
        <v>4</v>
      </c>
      <c r="E48" s="4" t="s">
        <v>10</v>
      </c>
      <c r="F48" s="4" t="s">
        <v>275</v>
      </c>
      <c r="G48" s="4" t="s">
        <v>278</v>
      </c>
      <c r="H48" s="4" t="s">
        <v>275</v>
      </c>
      <c r="I48" s="4" t="s">
        <v>279</v>
      </c>
      <c r="J48" s="4" t="s">
        <v>132</v>
      </c>
      <c r="K48" s="4" t="s">
        <v>46</v>
      </c>
    </row>
    <row r="49" spans="1:11" ht="28.8" x14ac:dyDescent="0.3">
      <c r="A49" s="4">
        <v>48</v>
      </c>
      <c r="B49" s="4" t="s">
        <v>280</v>
      </c>
      <c r="C49" s="4" t="s">
        <v>281</v>
      </c>
      <c r="D49" s="7" t="s">
        <v>3</v>
      </c>
      <c r="E49" s="4" t="s">
        <v>11</v>
      </c>
      <c r="F49" s="4" t="s">
        <v>282</v>
      </c>
      <c r="G49" s="4" t="s">
        <v>283</v>
      </c>
      <c r="H49" s="4" t="s">
        <v>284</v>
      </c>
      <c r="I49" s="4" t="s">
        <v>285</v>
      </c>
      <c r="J49" s="4" t="s">
        <v>286</v>
      </c>
      <c r="K49" s="4" t="s">
        <v>73</v>
      </c>
    </row>
    <row r="50" spans="1:11" ht="28.8" x14ac:dyDescent="0.3">
      <c r="A50" s="4">
        <v>49</v>
      </c>
      <c r="B50" s="4" t="s">
        <v>287</v>
      </c>
      <c r="C50" s="4" t="s">
        <v>281</v>
      </c>
      <c r="D50" s="7" t="s">
        <v>3</v>
      </c>
      <c r="E50" s="4" t="s">
        <v>11</v>
      </c>
      <c r="F50" s="4" t="s">
        <v>288</v>
      </c>
      <c r="G50" s="4" t="s">
        <v>289</v>
      </c>
      <c r="H50" s="4" t="s">
        <v>177</v>
      </c>
      <c r="I50" s="4" t="s">
        <v>290</v>
      </c>
      <c r="J50" s="4" t="s">
        <v>83</v>
      </c>
      <c r="K50" s="4" t="s">
        <v>53</v>
      </c>
    </row>
    <row r="51" spans="1:11" ht="43.2" x14ac:dyDescent="0.3">
      <c r="A51" s="4">
        <v>50</v>
      </c>
      <c r="B51" s="4" t="s">
        <v>291</v>
      </c>
      <c r="C51" s="4" t="s">
        <v>292</v>
      </c>
      <c r="D51" s="7" t="s">
        <v>3</v>
      </c>
      <c r="E51" s="4" t="s">
        <v>293</v>
      </c>
      <c r="F51" s="4" t="s">
        <v>294</v>
      </c>
      <c r="G51" s="4" t="s">
        <v>295</v>
      </c>
      <c r="H51" s="4" t="s">
        <v>296</v>
      </c>
      <c r="I51" s="4" t="s">
        <v>297</v>
      </c>
      <c r="J51" s="4" t="s">
        <v>298</v>
      </c>
      <c r="K51" s="4" t="s">
        <v>299</v>
      </c>
    </row>
    <row r="52" spans="1:11" ht="43.2" x14ac:dyDescent="0.3">
      <c r="A52" s="4">
        <v>51</v>
      </c>
      <c r="B52" s="4" t="s">
        <v>300</v>
      </c>
      <c r="C52" s="4" t="s">
        <v>164</v>
      </c>
      <c r="D52" s="6" t="s">
        <v>4</v>
      </c>
      <c r="E52" s="4" t="s">
        <v>10</v>
      </c>
      <c r="F52" s="4" t="s">
        <v>301</v>
      </c>
      <c r="G52" s="4" t="s">
        <v>302</v>
      </c>
      <c r="H52" s="4" t="s">
        <v>275</v>
      </c>
      <c r="I52" s="4" t="s">
        <v>303</v>
      </c>
      <c r="J52" s="4" t="s">
        <v>67</v>
      </c>
      <c r="K52" s="4" t="s">
        <v>46</v>
      </c>
    </row>
    <row r="53" spans="1:11" ht="28.8" x14ac:dyDescent="0.3">
      <c r="A53" s="4">
        <v>52</v>
      </c>
      <c r="B53" s="4" t="s">
        <v>304</v>
      </c>
      <c r="C53" s="4" t="s">
        <v>164</v>
      </c>
      <c r="D53" s="8" t="s">
        <v>5</v>
      </c>
      <c r="E53" s="4" t="s">
        <v>10</v>
      </c>
      <c r="F53" s="4" t="s">
        <v>305</v>
      </c>
      <c r="G53" s="4" t="s">
        <v>306</v>
      </c>
      <c r="H53" s="4" t="s">
        <v>177</v>
      </c>
      <c r="I53" s="4" t="s">
        <v>307</v>
      </c>
      <c r="J53" s="4" t="s">
        <v>79</v>
      </c>
      <c r="K53" s="4" t="s">
        <v>46</v>
      </c>
    </row>
    <row r="54" spans="1:11" ht="43.2" x14ac:dyDescent="0.3">
      <c r="A54" s="4">
        <v>53</v>
      </c>
      <c r="B54" s="4" t="s">
        <v>308</v>
      </c>
      <c r="C54" s="4" t="s">
        <v>309</v>
      </c>
      <c r="D54" s="8" t="s">
        <v>5</v>
      </c>
      <c r="E54" s="4" t="s">
        <v>9</v>
      </c>
      <c r="F54" s="4" t="s">
        <v>310</v>
      </c>
      <c r="G54" s="4" t="s">
        <v>311</v>
      </c>
      <c r="H54" s="4" t="s">
        <v>312</v>
      </c>
      <c r="I54" s="4" t="s">
        <v>313</v>
      </c>
      <c r="J54" s="4" t="s">
        <v>314</v>
      </c>
      <c r="K54" s="4" t="s">
        <v>315</v>
      </c>
    </row>
    <row r="55" spans="1:11" ht="28.8" x14ac:dyDescent="0.3">
      <c r="A55" s="4">
        <v>54</v>
      </c>
      <c r="B55" s="4" t="s">
        <v>316</v>
      </c>
      <c r="C55" s="4" t="s">
        <v>317</v>
      </c>
      <c r="D55" s="7" t="s">
        <v>3</v>
      </c>
      <c r="E55" s="4" t="s">
        <v>12</v>
      </c>
      <c r="F55" s="4" t="s">
        <v>318</v>
      </c>
      <c r="G55" s="4" t="s">
        <v>319</v>
      </c>
      <c r="H55" s="4" t="s">
        <v>320</v>
      </c>
      <c r="I55" s="4" t="s">
        <v>321</v>
      </c>
      <c r="J55" s="4" t="s">
        <v>286</v>
      </c>
      <c r="K55" s="4" t="s">
        <v>73</v>
      </c>
    </row>
    <row r="56" spans="1:11" ht="28.8" x14ac:dyDescent="0.3">
      <c r="A56" s="4">
        <v>55</v>
      </c>
      <c r="B56" s="4" t="s">
        <v>322</v>
      </c>
      <c r="C56" s="4" t="s">
        <v>323</v>
      </c>
      <c r="D56" s="7" t="s">
        <v>3</v>
      </c>
      <c r="E56" s="4" t="s">
        <v>12</v>
      </c>
      <c r="F56" s="4" t="s">
        <v>324</v>
      </c>
      <c r="G56" s="4" t="s">
        <v>325</v>
      </c>
      <c r="H56" s="4" t="s">
        <v>320</v>
      </c>
      <c r="I56" s="4" t="s">
        <v>326</v>
      </c>
      <c r="J56" s="4" t="s">
        <v>83</v>
      </c>
      <c r="K56" s="4" t="s">
        <v>327</v>
      </c>
    </row>
    <row r="57" spans="1:11" ht="28.8" x14ac:dyDescent="0.3">
      <c r="A57" s="4">
        <v>56</v>
      </c>
      <c r="B57" s="4" t="s">
        <v>328</v>
      </c>
      <c r="C57" s="4" t="s">
        <v>329</v>
      </c>
      <c r="D57" s="6" t="s">
        <v>4</v>
      </c>
      <c r="E57" s="4" t="s">
        <v>12</v>
      </c>
      <c r="F57" s="4" t="s">
        <v>330</v>
      </c>
      <c r="G57" s="4" t="s">
        <v>331</v>
      </c>
      <c r="H57" s="4" t="s">
        <v>332</v>
      </c>
      <c r="I57" s="4" t="s">
        <v>333</v>
      </c>
      <c r="J57" s="4" t="s">
        <v>99</v>
      </c>
      <c r="K57" s="4" t="s">
        <v>89</v>
      </c>
    </row>
    <row r="58" spans="1:11" ht="43.2" x14ac:dyDescent="0.3">
      <c r="A58" s="4">
        <v>57</v>
      </c>
      <c r="B58" s="4" t="s">
        <v>334</v>
      </c>
      <c r="C58" s="4" t="s">
        <v>329</v>
      </c>
      <c r="D58" s="6" t="s">
        <v>4</v>
      </c>
      <c r="E58" s="4" t="s">
        <v>12</v>
      </c>
      <c r="F58" s="4" t="s">
        <v>335</v>
      </c>
      <c r="G58" s="4" t="s">
        <v>336</v>
      </c>
      <c r="H58" s="4" t="s">
        <v>332</v>
      </c>
      <c r="I58" s="4" t="s">
        <v>337</v>
      </c>
      <c r="J58" s="4" t="s">
        <v>99</v>
      </c>
      <c r="K58" s="4" t="s">
        <v>53</v>
      </c>
    </row>
    <row r="59" spans="1:11" ht="28.8" x14ac:dyDescent="0.3">
      <c r="A59" s="4">
        <v>58</v>
      </c>
      <c r="B59" s="4" t="s">
        <v>338</v>
      </c>
      <c r="C59" s="4" t="s">
        <v>329</v>
      </c>
      <c r="D59" s="8" t="s">
        <v>5</v>
      </c>
      <c r="E59" s="4" t="s">
        <v>10</v>
      </c>
      <c r="F59" s="4" t="s">
        <v>339</v>
      </c>
      <c r="G59" s="4" t="s">
        <v>340</v>
      </c>
      <c r="H59" s="4" t="s">
        <v>142</v>
      </c>
      <c r="I59" s="4" t="s">
        <v>341</v>
      </c>
      <c r="J59" s="4" t="s">
        <v>99</v>
      </c>
      <c r="K59" s="4" t="s">
        <v>46</v>
      </c>
    </row>
    <row r="60" spans="1:11" ht="28.8" x14ac:dyDescent="0.3">
      <c r="A60" s="4">
        <v>59</v>
      </c>
      <c r="B60" s="4" t="s">
        <v>342</v>
      </c>
      <c r="C60" s="4" t="s">
        <v>329</v>
      </c>
      <c r="D60" s="7" t="s">
        <v>3</v>
      </c>
      <c r="E60" s="4" t="s">
        <v>12</v>
      </c>
      <c r="F60" s="4" t="s">
        <v>343</v>
      </c>
      <c r="G60" s="4" t="s">
        <v>344</v>
      </c>
      <c r="H60" s="4" t="s">
        <v>332</v>
      </c>
      <c r="I60" s="4" t="s">
        <v>345</v>
      </c>
      <c r="J60" s="4" t="s">
        <v>83</v>
      </c>
      <c r="K60" s="4" t="s">
        <v>53</v>
      </c>
    </row>
    <row r="61" spans="1:11" ht="28.8" x14ac:dyDescent="0.3">
      <c r="A61" s="4">
        <v>60</v>
      </c>
      <c r="B61" s="4" t="s">
        <v>346</v>
      </c>
      <c r="C61" s="4" t="s">
        <v>329</v>
      </c>
      <c r="D61" s="7" t="s">
        <v>3</v>
      </c>
      <c r="E61" s="4" t="s">
        <v>12</v>
      </c>
      <c r="F61" s="4" t="s">
        <v>347</v>
      </c>
      <c r="G61" s="4" t="s">
        <v>348</v>
      </c>
      <c r="H61" s="4" t="s">
        <v>332</v>
      </c>
      <c r="I61" s="4" t="s">
        <v>349</v>
      </c>
      <c r="J61" s="4" t="s">
        <v>286</v>
      </c>
      <c r="K61" s="4" t="s">
        <v>100</v>
      </c>
    </row>
    <row r="62" spans="1:11" ht="28.8" x14ac:dyDescent="0.3">
      <c r="A62" s="4">
        <v>61</v>
      </c>
      <c r="B62" s="4" t="s">
        <v>350</v>
      </c>
      <c r="C62" s="4" t="s">
        <v>351</v>
      </c>
      <c r="D62" s="7" t="s">
        <v>3</v>
      </c>
      <c r="E62" s="4" t="s">
        <v>12</v>
      </c>
      <c r="F62" s="4" t="s">
        <v>352</v>
      </c>
      <c r="G62" s="4" t="s">
        <v>353</v>
      </c>
      <c r="H62" s="4" t="s">
        <v>354</v>
      </c>
      <c r="I62" s="4" t="s">
        <v>355</v>
      </c>
      <c r="J62" s="4" t="s">
        <v>99</v>
      </c>
      <c r="K62" s="4" t="s">
        <v>356</v>
      </c>
    </row>
    <row r="63" spans="1:11" ht="28.8" x14ac:dyDescent="0.3">
      <c r="A63" s="4">
        <v>62</v>
      </c>
      <c r="B63" s="4" t="s">
        <v>357</v>
      </c>
      <c r="C63" s="4" t="s">
        <v>358</v>
      </c>
      <c r="D63" s="7" t="s">
        <v>3</v>
      </c>
      <c r="E63" s="4" t="s">
        <v>127</v>
      </c>
      <c r="F63" s="4" t="s">
        <v>359</v>
      </c>
      <c r="G63" s="4" t="s">
        <v>360</v>
      </c>
      <c r="H63" s="4" t="s">
        <v>167</v>
      </c>
      <c r="I63" s="4" t="s">
        <v>361</v>
      </c>
      <c r="J63" s="4" t="s">
        <v>286</v>
      </c>
      <c r="K63" s="4" t="s">
        <v>362</v>
      </c>
    </row>
    <row r="64" spans="1:11" ht="28.8" x14ac:dyDescent="0.3">
      <c r="A64" s="4">
        <v>63</v>
      </c>
      <c r="B64" s="4" t="s">
        <v>363</v>
      </c>
      <c r="C64" s="4" t="s">
        <v>358</v>
      </c>
      <c r="D64" s="7" t="s">
        <v>3</v>
      </c>
      <c r="E64" s="4" t="s">
        <v>12</v>
      </c>
      <c r="F64" s="4" t="s">
        <v>364</v>
      </c>
      <c r="G64" s="4" t="s">
        <v>365</v>
      </c>
      <c r="H64" s="4" t="s">
        <v>275</v>
      </c>
      <c r="I64" s="4" t="s">
        <v>366</v>
      </c>
      <c r="J64" s="4" t="s">
        <v>83</v>
      </c>
      <c r="K64" s="4" t="s">
        <v>53</v>
      </c>
    </row>
    <row r="65" spans="1:11" ht="28.8" x14ac:dyDescent="0.3">
      <c r="A65" s="4">
        <v>64</v>
      </c>
      <c r="B65" s="4" t="s">
        <v>367</v>
      </c>
      <c r="C65" s="4" t="s">
        <v>358</v>
      </c>
      <c r="D65" s="7" t="s">
        <v>3</v>
      </c>
      <c r="E65" s="4" t="s">
        <v>12</v>
      </c>
      <c r="F65" s="4" t="s">
        <v>368</v>
      </c>
      <c r="G65" s="4" t="s">
        <v>369</v>
      </c>
      <c r="H65" s="4" t="s">
        <v>275</v>
      </c>
      <c r="I65" s="4" t="s">
        <v>370</v>
      </c>
      <c r="J65" s="4" t="s">
        <v>83</v>
      </c>
      <c r="K65" s="4" t="s">
        <v>327</v>
      </c>
    </row>
    <row r="66" spans="1:11" ht="43.2" x14ac:dyDescent="0.3">
      <c r="A66" s="4">
        <v>65</v>
      </c>
      <c r="B66" s="4" t="s">
        <v>371</v>
      </c>
      <c r="C66" s="4" t="s">
        <v>317</v>
      </c>
      <c r="D66" s="7" t="s">
        <v>3</v>
      </c>
      <c r="E66" s="4" t="s">
        <v>12</v>
      </c>
      <c r="F66" s="4" t="s">
        <v>372</v>
      </c>
      <c r="G66" s="4" t="s">
        <v>373</v>
      </c>
      <c r="H66" s="4" t="s">
        <v>296</v>
      </c>
      <c r="I66" s="4" t="s">
        <v>374</v>
      </c>
      <c r="J66" s="4" t="s">
        <v>286</v>
      </c>
      <c r="K66" s="4" t="s">
        <v>73</v>
      </c>
    </row>
    <row r="67" spans="1:11" ht="28.8" x14ac:dyDescent="0.3">
      <c r="A67" s="4">
        <v>66</v>
      </c>
      <c r="B67" s="4" t="s">
        <v>375</v>
      </c>
      <c r="C67" s="4" t="s">
        <v>317</v>
      </c>
      <c r="D67" s="6" t="s">
        <v>4</v>
      </c>
      <c r="E67" s="4" t="s">
        <v>12</v>
      </c>
      <c r="F67" s="4" t="s">
        <v>376</v>
      </c>
      <c r="G67" s="4" t="s">
        <v>377</v>
      </c>
      <c r="H67" s="4" t="s">
        <v>167</v>
      </c>
      <c r="I67" s="4" t="s">
        <v>378</v>
      </c>
      <c r="J67" s="4" t="s">
        <v>286</v>
      </c>
      <c r="K67" s="4" t="s">
        <v>299</v>
      </c>
    </row>
    <row r="68" spans="1:11" ht="43.2" x14ac:dyDescent="0.3">
      <c r="A68" s="4">
        <v>67</v>
      </c>
      <c r="B68" s="4" t="s">
        <v>379</v>
      </c>
      <c r="C68" s="4" t="s">
        <v>380</v>
      </c>
      <c r="D68" s="6" t="s">
        <v>4</v>
      </c>
      <c r="E68" s="4" t="s">
        <v>12</v>
      </c>
      <c r="F68" s="4" t="s">
        <v>381</v>
      </c>
      <c r="G68" s="4" t="s">
        <v>382</v>
      </c>
      <c r="H68" s="4" t="s">
        <v>383</v>
      </c>
      <c r="I68" s="4" t="s">
        <v>384</v>
      </c>
      <c r="J68" s="4" t="s">
        <v>99</v>
      </c>
      <c r="K68" s="4" t="s">
        <v>89</v>
      </c>
    </row>
    <row r="69" spans="1:11" ht="28.8" x14ac:dyDescent="0.3">
      <c r="A69" s="4">
        <v>68</v>
      </c>
      <c r="B69" s="4" t="s">
        <v>385</v>
      </c>
      <c r="C69" s="4" t="s">
        <v>386</v>
      </c>
      <c r="D69" s="8" t="s">
        <v>5</v>
      </c>
      <c r="E69" s="4" t="s">
        <v>9</v>
      </c>
      <c r="F69" s="4" t="s">
        <v>387</v>
      </c>
      <c r="G69" s="4" t="s">
        <v>388</v>
      </c>
      <c r="H69" s="4" t="s">
        <v>121</v>
      </c>
      <c r="I69" s="4" t="s">
        <v>389</v>
      </c>
      <c r="J69" s="4" t="s">
        <v>99</v>
      </c>
      <c r="K69" s="4" t="s">
        <v>60</v>
      </c>
    </row>
    <row r="70" spans="1:11" x14ac:dyDescent="0.3">
      <c r="A70" s="4">
        <v>69</v>
      </c>
      <c r="B70" s="4" t="s">
        <v>390</v>
      </c>
      <c r="C70" s="4" t="s">
        <v>386</v>
      </c>
      <c r="D70" s="8" t="s">
        <v>5</v>
      </c>
      <c r="E70" s="4" t="s">
        <v>9</v>
      </c>
      <c r="F70" s="4" t="s">
        <v>391</v>
      </c>
      <c r="G70" s="4" t="s">
        <v>392</v>
      </c>
      <c r="H70" s="4" t="s">
        <v>71</v>
      </c>
      <c r="I70" s="4" t="s">
        <v>393</v>
      </c>
      <c r="J70" s="4" t="s">
        <v>99</v>
      </c>
      <c r="K70" s="4" t="s">
        <v>60</v>
      </c>
    </row>
    <row r="71" spans="1:11" ht="57.6" x14ac:dyDescent="0.3">
      <c r="A71" s="4">
        <v>70</v>
      </c>
      <c r="B71" s="4" t="s">
        <v>394</v>
      </c>
      <c r="C71" s="4" t="s">
        <v>395</v>
      </c>
      <c r="D71" s="6" t="s">
        <v>4</v>
      </c>
      <c r="E71" s="4" t="s">
        <v>12</v>
      </c>
      <c r="F71" s="4" t="s">
        <v>396</v>
      </c>
      <c r="G71" s="4" t="s">
        <v>397</v>
      </c>
      <c r="H71" s="4" t="s">
        <v>398</v>
      </c>
      <c r="I71" s="4" t="s">
        <v>399</v>
      </c>
      <c r="J71" s="4" t="s">
        <v>200</v>
      </c>
      <c r="K71" s="4" t="s">
        <v>89</v>
      </c>
    </row>
    <row r="72" spans="1:11" ht="43.2" x14ac:dyDescent="0.3">
      <c r="A72" s="4">
        <v>71</v>
      </c>
      <c r="B72" s="4" t="s">
        <v>400</v>
      </c>
      <c r="C72" s="4" t="s">
        <v>395</v>
      </c>
      <c r="D72" s="6" t="s">
        <v>4</v>
      </c>
      <c r="E72" s="4" t="s">
        <v>12</v>
      </c>
      <c r="F72" s="4" t="s">
        <v>401</v>
      </c>
      <c r="G72" s="4" t="s">
        <v>402</v>
      </c>
      <c r="H72" s="4" t="s">
        <v>403</v>
      </c>
      <c r="I72" s="4" t="s">
        <v>404</v>
      </c>
      <c r="J72" s="4" t="s">
        <v>200</v>
      </c>
      <c r="K72" s="4" t="s">
        <v>89</v>
      </c>
    </row>
    <row r="73" spans="1:11" ht="28.8" x14ac:dyDescent="0.3">
      <c r="A73" s="4">
        <v>72</v>
      </c>
      <c r="B73" s="4" t="s">
        <v>405</v>
      </c>
      <c r="C73" s="4" t="s">
        <v>406</v>
      </c>
      <c r="D73" s="6" t="s">
        <v>4</v>
      </c>
      <c r="E73" s="4" t="s">
        <v>12</v>
      </c>
      <c r="F73" s="4" t="s">
        <v>407</v>
      </c>
      <c r="G73" s="4" t="s">
        <v>408</v>
      </c>
      <c r="H73" s="4" t="s">
        <v>409</v>
      </c>
      <c r="I73" s="4" t="s">
        <v>410</v>
      </c>
      <c r="J73" s="4" t="s">
        <v>83</v>
      </c>
      <c r="K73" s="4" t="s">
        <v>411</v>
      </c>
    </row>
    <row r="74" spans="1:11" ht="43.2" x14ac:dyDescent="0.3">
      <c r="A74" s="4">
        <v>73</v>
      </c>
      <c r="B74" s="4" t="s">
        <v>412</v>
      </c>
      <c r="C74" s="4" t="s">
        <v>413</v>
      </c>
      <c r="D74" s="7" t="s">
        <v>3</v>
      </c>
      <c r="E74" s="4" t="s">
        <v>12</v>
      </c>
      <c r="F74" s="4" t="s">
        <v>414</v>
      </c>
      <c r="G74" s="4" t="s">
        <v>415</v>
      </c>
      <c r="H74" s="4" t="s">
        <v>416</v>
      </c>
      <c r="I74" s="4" t="s">
        <v>417</v>
      </c>
      <c r="J74" s="4" t="s">
        <v>37</v>
      </c>
      <c r="K74" s="4" t="s">
        <v>100</v>
      </c>
    </row>
    <row r="75" spans="1:11" x14ac:dyDescent="0.3">
      <c r="A75" s="4">
        <v>74</v>
      </c>
      <c r="B75" s="4" t="s">
        <v>418</v>
      </c>
      <c r="C75" s="4" t="s">
        <v>309</v>
      </c>
      <c r="D75" s="8" t="s">
        <v>5</v>
      </c>
      <c r="E75" s="4" t="s">
        <v>12</v>
      </c>
      <c r="F75" s="4" t="s">
        <v>419</v>
      </c>
      <c r="G75" s="4" t="s">
        <v>420</v>
      </c>
      <c r="H75" s="4" t="s">
        <v>421</v>
      </c>
      <c r="I75" s="4" t="s">
        <v>422</v>
      </c>
      <c r="J75" s="4" t="s">
        <v>37</v>
      </c>
      <c r="K75" s="4" t="s">
        <v>89</v>
      </c>
    </row>
    <row r="76" spans="1:11" ht="28.8" x14ac:dyDescent="0.3">
      <c r="A76" s="4">
        <v>75</v>
      </c>
      <c r="B76" s="4" t="s">
        <v>423</v>
      </c>
      <c r="C76" s="4" t="s">
        <v>424</v>
      </c>
      <c r="D76" s="6" t="s">
        <v>4</v>
      </c>
      <c r="E76" s="4" t="s">
        <v>10</v>
      </c>
      <c r="F76" s="4" t="s">
        <v>425</v>
      </c>
      <c r="G76" s="4" t="s">
        <v>426</v>
      </c>
      <c r="H76" s="4" t="s">
        <v>427</v>
      </c>
      <c r="I76" s="4" t="s">
        <v>428</v>
      </c>
      <c r="J76" s="4" t="s">
        <v>45</v>
      </c>
      <c r="K76" s="4" t="s">
        <v>60</v>
      </c>
    </row>
    <row r="77" spans="1:11" ht="43.2" x14ac:dyDescent="0.3">
      <c r="A77" s="4">
        <v>76</v>
      </c>
      <c r="B77" s="4" t="s">
        <v>429</v>
      </c>
      <c r="C77" s="4" t="s">
        <v>430</v>
      </c>
      <c r="D77" s="7" t="s">
        <v>3</v>
      </c>
      <c r="E77" s="4" t="s">
        <v>10</v>
      </c>
      <c r="F77" s="4" t="s">
        <v>431</v>
      </c>
      <c r="G77" s="4" t="s">
        <v>432</v>
      </c>
      <c r="H77" s="4" t="s">
        <v>433</v>
      </c>
      <c r="I77" s="4" t="s">
        <v>434</v>
      </c>
      <c r="J77" s="4" t="s">
        <v>132</v>
      </c>
      <c r="K77" s="4" t="s">
        <v>53</v>
      </c>
    </row>
    <row r="78" spans="1:11" ht="28.8" x14ac:dyDescent="0.3">
      <c r="A78" s="4">
        <v>77</v>
      </c>
      <c r="B78" s="4" t="s">
        <v>435</v>
      </c>
      <c r="C78" s="4" t="s">
        <v>430</v>
      </c>
      <c r="D78" s="8" t="s">
        <v>5</v>
      </c>
      <c r="E78" s="4" t="s">
        <v>240</v>
      </c>
      <c r="F78" s="4" t="s">
        <v>436</v>
      </c>
      <c r="G78" s="4" t="s">
        <v>437</v>
      </c>
      <c r="H78" s="4" t="s">
        <v>438</v>
      </c>
      <c r="I78" s="4" t="s">
        <v>439</v>
      </c>
      <c r="J78" s="4" t="s">
        <v>45</v>
      </c>
      <c r="K78" s="4" t="s">
        <v>60</v>
      </c>
    </row>
    <row r="79" spans="1:11" ht="28.8" x14ac:dyDescent="0.3">
      <c r="A79" s="4">
        <v>78</v>
      </c>
      <c r="B79" s="4" t="s">
        <v>440</v>
      </c>
      <c r="C79" s="4" t="s">
        <v>441</v>
      </c>
      <c r="D79" s="8" t="s">
        <v>5</v>
      </c>
      <c r="E79" s="4" t="s">
        <v>9</v>
      </c>
      <c r="F79" s="4" t="s">
        <v>442</v>
      </c>
      <c r="G79" s="4" t="s">
        <v>443</v>
      </c>
      <c r="H79" s="4" t="s">
        <v>71</v>
      </c>
      <c r="I79" s="4" t="s">
        <v>444</v>
      </c>
      <c r="J79" s="4" t="s">
        <v>79</v>
      </c>
      <c r="K79" s="4" t="s">
        <v>445</v>
      </c>
    </row>
    <row r="80" spans="1:11" ht="28.8" x14ac:dyDescent="0.3">
      <c r="A80" s="4">
        <v>79</v>
      </c>
      <c r="B80" s="4" t="s">
        <v>446</v>
      </c>
      <c r="C80" s="4" t="s">
        <v>11</v>
      </c>
      <c r="D80" s="8" t="s">
        <v>5</v>
      </c>
      <c r="E80" s="4" t="s">
        <v>11</v>
      </c>
      <c r="F80" s="4" t="s">
        <v>447</v>
      </c>
      <c r="G80" s="4" t="s">
        <v>448</v>
      </c>
      <c r="H80" s="4" t="s">
        <v>232</v>
      </c>
      <c r="I80" s="4" t="s">
        <v>449</v>
      </c>
      <c r="J80" s="4" t="s">
        <v>123</v>
      </c>
      <c r="K80" s="4" t="s">
        <v>46</v>
      </c>
    </row>
    <row r="81" spans="1:11" ht="28.8" x14ac:dyDescent="0.3">
      <c r="A81" s="4">
        <v>80</v>
      </c>
      <c r="B81" s="4" t="s">
        <v>450</v>
      </c>
      <c r="C81" s="4" t="s">
        <v>451</v>
      </c>
      <c r="D81" s="8" t="s">
        <v>5</v>
      </c>
      <c r="E81" s="4" t="s">
        <v>11</v>
      </c>
      <c r="F81" s="4" t="s">
        <v>452</v>
      </c>
      <c r="G81" s="4" t="s">
        <v>453</v>
      </c>
      <c r="H81" s="4" t="s">
        <v>452</v>
      </c>
      <c r="I81" s="4" t="s">
        <v>454</v>
      </c>
      <c r="J81" s="4" t="s">
        <v>79</v>
      </c>
      <c r="K81" s="4" t="s">
        <v>46</v>
      </c>
    </row>
    <row r="82" spans="1:11" ht="28.8" x14ac:dyDescent="0.3">
      <c r="A82" s="4">
        <v>81</v>
      </c>
      <c r="B82" s="4" t="s">
        <v>455</v>
      </c>
      <c r="C82" s="4" t="s">
        <v>451</v>
      </c>
      <c r="D82" s="6" t="s">
        <v>4</v>
      </c>
      <c r="E82" s="4" t="s">
        <v>11</v>
      </c>
      <c r="F82" s="4" t="s">
        <v>456</v>
      </c>
      <c r="G82" s="4" t="s">
        <v>457</v>
      </c>
      <c r="H82" s="4" t="s">
        <v>458</v>
      </c>
      <c r="I82" s="4" t="s">
        <v>459</v>
      </c>
      <c r="J82" s="4" t="s">
        <v>67</v>
      </c>
      <c r="K82" s="4" t="s">
        <v>73</v>
      </c>
    </row>
    <row r="83" spans="1:11" x14ac:dyDescent="0.3">
      <c r="A83" s="4">
        <v>82</v>
      </c>
      <c r="B83" s="4" t="s">
        <v>460</v>
      </c>
      <c r="C83" s="4" t="s">
        <v>11</v>
      </c>
      <c r="D83" s="8" t="s">
        <v>5</v>
      </c>
      <c r="E83" s="4" t="s">
        <v>11</v>
      </c>
      <c r="F83" s="4" t="s">
        <v>461</v>
      </c>
      <c r="G83" s="4" t="s">
        <v>462</v>
      </c>
      <c r="H83" s="4" t="s">
        <v>463</v>
      </c>
      <c r="I83" s="4" t="s">
        <v>464</v>
      </c>
      <c r="J83" s="4" t="s">
        <v>79</v>
      </c>
      <c r="K83" s="4" t="s">
        <v>46</v>
      </c>
    </row>
    <row r="84" spans="1:11" ht="28.8" x14ac:dyDescent="0.3">
      <c r="A84" s="4">
        <v>83</v>
      </c>
      <c r="B84" s="4" t="s">
        <v>465</v>
      </c>
      <c r="C84" s="4" t="s">
        <v>451</v>
      </c>
      <c r="D84" s="6" t="s">
        <v>4</v>
      </c>
      <c r="E84" s="4" t="s">
        <v>11</v>
      </c>
      <c r="F84" s="4" t="s">
        <v>466</v>
      </c>
      <c r="G84" s="4" t="s">
        <v>467</v>
      </c>
      <c r="H84" s="4" t="s">
        <v>468</v>
      </c>
      <c r="I84" s="4" t="s">
        <v>469</v>
      </c>
      <c r="J84" s="4" t="s">
        <v>79</v>
      </c>
      <c r="K84" s="4" t="s">
        <v>89</v>
      </c>
    </row>
    <row r="85" spans="1:11" ht="43.2" x14ac:dyDescent="0.3">
      <c r="A85" s="4">
        <v>84</v>
      </c>
      <c r="B85" s="4" t="s">
        <v>470</v>
      </c>
      <c r="C85" s="4" t="s">
        <v>25</v>
      </c>
      <c r="D85" s="5" t="s">
        <v>6</v>
      </c>
      <c r="E85" s="4" t="s">
        <v>10</v>
      </c>
      <c r="F85" s="4" t="s">
        <v>471</v>
      </c>
      <c r="G85" s="4" t="s">
        <v>472</v>
      </c>
      <c r="H85" s="4" t="s">
        <v>473</v>
      </c>
      <c r="I85" s="4" t="s">
        <v>474</v>
      </c>
      <c r="J85" s="4" t="s">
        <v>45</v>
      </c>
      <c r="K85" s="4" t="s">
        <v>475</v>
      </c>
    </row>
    <row r="86" spans="1:11" ht="28.8" x14ac:dyDescent="0.3">
      <c r="A86" s="4">
        <v>85</v>
      </c>
      <c r="B86" s="4" t="s">
        <v>476</v>
      </c>
      <c r="C86" s="4" t="s">
        <v>25</v>
      </c>
      <c r="D86" s="5" t="s">
        <v>6</v>
      </c>
      <c r="E86" s="4" t="s">
        <v>10</v>
      </c>
      <c r="F86" s="4" t="s">
        <v>477</v>
      </c>
      <c r="G86" s="4" t="s">
        <v>478</v>
      </c>
      <c r="H86" s="4" t="s">
        <v>477</v>
      </c>
      <c r="I86" s="4" t="s">
        <v>479</v>
      </c>
      <c r="J86" s="4" t="s">
        <v>45</v>
      </c>
      <c r="K86" s="4" t="s">
        <v>475</v>
      </c>
    </row>
    <row r="87" spans="1:11" ht="43.2" x14ac:dyDescent="0.3">
      <c r="A87" s="4">
        <v>86</v>
      </c>
      <c r="B87" s="4" t="s">
        <v>480</v>
      </c>
      <c r="C87" s="4" t="s">
        <v>25</v>
      </c>
      <c r="D87" s="5" t="s">
        <v>6</v>
      </c>
      <c r="E87" s="4" t="s">
        <v>10</v>
      </c>
      <c r="F87" s="4" t="s">
        <v>481</v>
      </c>
      <c r="G87" s="4" t="s">
        <v>482</v>
      </c>
      <c r="H87" s="4" t="s">
        <v>481</v>
      </c>
      <c r="I87" s="4" t="s">
        <v>483</v>
      </c>
      <c r="J87" s="4" t="s">
        <v>45</v>
      </c>
      <c r="K87" s="4" t="s">
        <v>475</v>
      </c>
    </row>
    <row r="88" spans="1:11" ht="28.8" x14ac:dyDescent="0.3">
      <c r="A88" s="4">
        <v>87</v>
      </c>
      <c r="B88" s="4" t="s">
        <v>484</v>
      </c>
      <c r="C88" s="4" t="s">
        <v>25</v>
      </c>
      <c r="D88" s="6" t="s">
        <v>4</v>
      </c>
      <c r="E88" s="4" t="s">
        <v>12</v>
      </c>
      <c r="F88" s="4" t="s">
        <v>485</v>
      </c>
      <c r="G88" s="4" t="s">
        <v>486</v>
      </c>
      <c r="H88" s="4" t="s">
        <v>485</v>
      </c>
      <c r="I88" s="4" t="s">
        <v>487</v>
      </c>
      <c r="J88" s="4" t="s">
        <v>99</v>
      </c>
      <c r="K88" s="4" t="s">
        <v>89</v>
      </c>
    </row>
    <row r="89" spans="1:11" ht="28.8" x14ac:dyDescent="0.3">
      <c r="A89" s="4">
        <v>88</v>
      </c>
      <c r="B89" s="4" t="s">
        <v>488</v>
      </c>
      <c r="C89" s="4" t="s">
        <v>25</v>
      </c>
      <c r="D89" s="6" t="s">
        <v>4</v>
      </c>
      <c r="E89" s="4" t="s">
        <v>10</v>
      </c>
      <c r="F89" s="4" t="s">
        <v>187</v>
      </c>
      <c r="G89" s="4" t="s">
        <v>489</v>
      </c>
      <c r="H89" s="4" t="s">
        <v>490</v>
      </c>
      <c r="I89" s="4" t="s">
        <v>491</v>
      </c>
      <c r="J89" s="4" t="s">
        <v>45</v>
      </c>
      <c r="K89" s="4" t="s">
        <v>46</v>
      </c>
    </row>
    <row r="90" spans="1:11" ht="28.8" x14ac:dyDescent="0.3">
      <c r="A90" s="4">
        <v>89</v>
      </c>
      <c r="B90" s="4" t="s">
        <v>492</v>
      </c>
      <c r="C90" s="4" t="s">
        <v>25</v>
      </c>
      <c r="D90" s="6" t="s">
        <v>4</v>
      </c>
      <c r="E90" s="4" t="s">
        <v>10</v>
      </c>
      <c r="F90" s="4" t="s">
        <v>493</v>
      </c>
      <c r="G90" s="4" t="s">
        <v>494</v>
      </c>
      <c r="H90" s="4" t="s">
        <v>493</v>
      </c>
      <c r="I90" s="4" t="s">
        <v>495</v>
      </c>
      <c r="J90" s="4" t="s">
        <v>45</v>
      </c>
      <c r="K90" s="4" t="s">
        <v>46</v>
      </c>
    </row>
    <row r="91" spans="1:11" ht="28.8" x14ac:dyDescent="0.3">
      <c r="A91" s="4">
        <v>90</v>
      </c>
      <c r="B91" s="4" t="s">
        <v>496</v>
      </c>
      <c r="C91" s="4" t="s">
        <v>25</v>
      </c>
      <c r="D91" s="8" t="s">
        <v>5</v>
      </c>
      <c r="E91" s="4" t="s">
        <v>9</v>
      </c>
      <c r="F91" s="4" t="s">
        <v>312</v>
      </c>
      <c r="G91" s="4" t="s">
        <v>497</v>
      </c>
      <c r="H91" s="4" t="s">
        <v>312</v>
      </c>
      <c r="I91" s="4" t="s">
        <v>498</v>
      </c>
      <c r="J91" s="4" t="s">
        <v>314</v>
      </c>
      <c r="K91" s="4" t="s">
        <v>315</v>
      </c>
    </row>
    <row r="92" spans="1:11" ht="28.8" x14ac:dyDescent="0.3">
      <c r="A92" s="4">
        <v>91</v>
      </c>
      <c r="B92" s="4" t="s">
        <v>499</v>
      </c>
      <c r="C92" s="4" t="s">
        <v>32</v>
      </c>
      <c r="D92" s="5" t="s">
        <v>6</v>
      </c>
      <c r="E92" s="4" t="s">
        <v>9</v>
      </c>
      <c r="F92" s="4" t="s">
        <v>115</v>
      </c>
      <c r="G92" s="4" t="s">
        <v>500</v>
      </c>
      <c r="H92" s="4" t="s">
        <v>501</v>
      </c>
      <c r="I92" s="4" t="s">
        <v>502</v>
      </c>
      <c r="J92" s="4" t="s">
        <v>37</v>
      </c>
      <c r="K92" s="4" t="s">
        <v>475</v>
      </c>
    </row>
    <row r="93" spans="1:11" x14ac:dyDescent="0.3">
      <c r="A93" s="4">
        <v>92</v>
      </c>
      <c r="B93" s="4" t="s">
        <v>503</v>
      </c>
      <c r="C93" s="4" t="s">
        <v>32</v>
      </c>
      <c r="D93" s="5" t="s">
        <v>6</v>
      </c>
      <c r="E93" s="4" t="s">
        <v>9</v>
      </c>
      <c r="F93" s="4" t="s">
        <v>115</v>
      </c>
      <c r="G93" s="4" t="s">
        <v>504</v>
      </c>
      <c r="H93" s="4" t="s">
        <v>104</v>
      </c>
      <c r="I93" s="4" t="s">
        <v>505</v>
      </c>
      <c r="J93" s="4" t="s">
        <v>79</v>
      </c>
      <c r="K93" s="4" t="s">
        <v>38</v>
      </c>
    </row>
    <row r="94" spans="1:11" x14ac:dyDescent="0.3">
      <c r="A94" s="4">
        <v>93</v>
      </c>
      <c r="B94" s="4" t="s">
        <v>506</v>
      </c>
      <c r="C94" s="4" t="s">
        <v>55</v>
      </c>
      <c r="D94" s="5" t="s">
        <v>6</v>
      </c>
      <c r="E94" s="4" t="s">
        <v>9</v>
      </c>
      <c r="F94" s="4" t="s">
        <v>115</v>
      </c>
      <c r="G94" s="4" t="s">
        <v>507</v>
      </c>
      <c r="H94" s="4" t="s">
        <v>104</v>
      </c>
      <c r="I94" s="4" t="s">
        <v>117</v>
      </c>
      <c r="J94" s="4" t="s">
        <v>37</v>
      </c>
      <c r="K94" s="4" t="s">
        <v>46</v>
      </c>
    </row>
    <row r="95" spans="1:11" x14ac:dyDescent="0.3">
      <c r="A95" s="4">
        <v>94</v>
      </c>
      <c r="B95" s="4" t="s">
        <v>508</v>
      </c>
      <c r="C95" s="4" t="s">
        <v>48</v>
      </c>
      <c r="D95" s="7" t="s">
        <v>3</v>
      </c>
      <c r="E95" s="4" t="s">
        <v>9</v>
      </c>
      <c r="F95" s="4" t="s">
        <v>49</v>
      </c>
      <c r="G95" s="4" t="s">
        <v>509</v>
      </c>
      <c r="H95" s="4" t="s">
        <v>49</v>
      </c>
      <c r="I95" s="4" t="s">
        <v>510</v>
      </c>
      <c r="J95" s="4" t="s">
        <v>52</v>
      </c>
      <c r="K95" s="4" t="s">
        <v>53</v>
      </c>
    </row>
    <row r="96" spans="1:11" ht="28.8" x14ac:dyDescent="0.3">
      <c r="A96" s="4">
        <v>95</v>
      </c>
      <c r="B96" s="4" t="s">
        <v>511</v>
      </c>
      <c r="C96" s="4" t="s">
        <v>11</v>
      </c>
      <c r="D96" s="6" t="s">
        <v>4</v>
      </c>
      <c r="E96" s="4" t="s">
        <v>9</v>
      </c>
      <c r="F96" s="4" t="s">
        <v>512</v>
      </c>
      <c r="G96" s="4" t="s">
        <v>513</v>
      </c>
      <c r="H96" s="4" t="s">
        <v>514</v>
      </c>
      <c r="I96" s="4" t="s">
        <v>122</v>
      </c>
      <c r="J96" s="4" t="s">
        <v>123</v>
      </c>
      <c r="K96" s="4" t="s">
        <v>124</v>
      </c>
    </row>
    <row r="97" spans="1:11" ht="28.8" x14ac:dyDescent="0.3">
      <c r="A97" s="4">
        <v>96</v>
      </c>
      <c r="B97" s="4" t="s">
        <v>515</v>
      </c>
      <c r="C97" s="4" t="s">
        <v>85</v>
      </c>
      <c r="D97" s="6" t="s">
        <v>4</v>
      </c>
      <c r="E97" s="4" t="s">
        <v>9</v>
      </c>
      <c r="F97" s="4" t="s">
        <v>33</v>
      </c>
      <c r="G97" s="4" t="s">
        <v>516</v>
      </c>
      <c r="H97" s="4" t="s">
        <v>514</v>
      </c>
      <c r="I97" s="4" t="s">
        <v>88</v>
      </c>
      <c r="J97" s="4" t="s">
        <v>45</v>
      </c>
      <c r="K97" s="4" t="s">
        <v>89</v>
      </c>
    </row>
    <row r="98" spans="1:11" ht="28.8" x14ac:dyDescent="0.3">
      <c r="A98" s="4">
        <v>97</v>
      </c>
      <c r="B98" s="4" t="s">
        <v>517</v>
      </c>
      <c r="C98" s="4" t="s">
        <v>85</v>
      </c>
      <c r="D98" s="6" t="s">
        <v>4</v>
      </c>
      <c r="E98" s="4" t="s">
        <v>9</v>
      </c>
      <c r="F98" s="4" t="s">
        <v>92</v>
      </c>
      <c r="G98" s="4" t="s">
        <v>518</v>
      </c>
      <c r="H98" s="4" t="s">
        <v>92</v>
      </c>
      <c r="I98" s="4" t="s">
        <v>519</v>
      </c>
      <c r="J98" s="4" t="s">
        <v>83</v>
      </c>
      <c r="K98" s="4" t="s">
        <v>89</v>
      </c>
    </row>
    <row r="99" spans="1:11" ht="28.8" x14ac:dyDescent="0.3">
      <c r="A99" s="4">
        <v>98</v>
      </c>
      <c r="B99" s="4" t="s">
        <v>520</v>
      </c>
      <c r="C99" s="4" t="s">
        <v>95</v>
      </c>
      <c r="D99" s="7" t="s">
        <v>3</v>
      </c>
      <c r="E99" s="4" t="s">
        <v>9</v>
      </c>
      <c r="F99" s="4" t="s">
        <v>97</v>
      </c>
      <c r="G99" s="4" t="s">
        <v>521</v>
      </c>
      <c r="H99" s="4" t="s">
        <v>97</v>
      </c>
      <c r="I99" s="4" t="s">
        <v>522</v>
      </c>
      <c r="J99" s="4" t="s">
        <v>99</v>
      </c>
      <c r="K99" s="4" t="s">
        <v>100</v>
      </c>
    </row>
    <row r="100" spans="1:11" ht="28.8" x14ac:dyDescent="0.3">
      <c r="A100" s="4">
        <v>99</v>
      </c>
      <c r="B100" s="4" t="s">
        <v>523</v>
      </c>
      <c r="C100" s="4" t="s">
        <v>329</v>
      </c>
      <c r="D100" s="6" t="s">
        <v>4</v>
      </c>
      <c r="E100" s="4" t="s">
        <v>12</v>
      </c>
      <c r="F100" s="4" t="s">
        <v>332</v>
      </c>
      <c r="G100" s="4" t="s">
        <v>524</v>
      </c>
      <c r="H100" s="4" t="s">
        <v>332</v>
      </c>
      <c r="I100" s="4" t="s">
        <v>525</v>
      </c>
      <c r="J100" s="4" t="s">
        <v>99</v>
      </c>
      <c r="K100" s="4" t="s">
        <v>89</v>
      </c>
    </row>
    <row r="101" spans="1:11" x14ac:dyDescent="0.3">
      <c r="A101" s="4">
        <v>100</v>
      </c>
      <c r="B101" s="4" t="s">
        <v>526</v>
      </c>
      <c r="C101" s="4" t="s">
        <v>317</v>
      </c>
      <c r="D101" s="7" t="s">
        <v>3</v>
      </c>
      <c r="E101" s="4" t="s">
        <v>12</v>
      </c>
      <c r="F101" s="4" t="s">
        <v>332</v>
      </c>
      <c r="G101" s="4" t="s">
        <v>527</v>
      </c>
      <c r="H101" s="4" t="s">
        <v>320</v>
      </c>
      <c r="I101" s="4" t="s">
        <v>528</v>
      </c>
      <c r="J101" s="4" t="s">
        <v>286</v>
      </c>
      <c r="K101" s="4" t="s">
        <v>73</v>
      </c>
    </row>
    <row r="102" spans="1:11" x14ac:dyDescent="0.3">
      <c r="A102" s="4">
        <v>101</v>
      </c>
      <c r="B102" s="4" t="s">
        <v>529</v>
      </c>
      <c r="C102" s="4" t="s">
        <v>323</v>
      </c>
      <c r="D102" s="7" t="s">
        <v>3</v>
      </c>
      <c r="E102" s="4" t="s">
        <v>12</v>
      </c>
      <c r="F102" s="4" t="s">
        <v>332</v>
      </c>
      <c r="G102" s="4" t="s">
        <v>530</v>
      </c>
      <c r="H102" s="4" t="s">
        <v>320</v>
      </c>
      <c r="I102" s="4" t="s">
        <v>531</v>
      </c>
      <c r="J102" s="4" t="s">
        <v>83</v>
      </c>
      <c r="K102" s="4" t="s">
        <v>327</v>
      </c>
    </row>
    <row r="103" spans="1:11" ht="28.8" x14ac:dyDescent="0.3">
      <c r="A103" s="4">
        <v>102</v>
      </c>
      <c r="B103" s="4" t="s">
        <v>532</v>
      </c>
      <c r="C103" s="4" t="s">
        <v>329</v>
      </c>
      <c r="D103" s="6" t="s">
        <v>4</v>
      </c>
      <c r="E103" s="4" t="s">
        <v>12</v>
      </c>
      <c r="F103" s="4" t="s">
        <v>332</v>
      </c>
      <c r="G103" s="4" t="s">
        <v>336</v>
      </c>
      <c r="H103" s="4" t="s">
        <v>332</v>
      </c>
      <c r="I103" s="4" t="s">
        <v>533</v>
      </c>
      <c r="J103" s="4" t="s">
        <v>99</v>
      </c>
      <c r="K103" s="4" t="s">
        <v>53</v>
      </c>
    </row>
    <row r="104" spans="1:11" x14ac:dyDescent="0.3">
      <c r="A104" s="4">
        <v>103</v>
      </c>
      <c r="B104" s="4" t="s">
        <v>534</v>
      </c>
      <c r="C104" s="4" t="s">
        <v>380</v>
      </c>
      <c r="D104" s="8" t="s">
        <v>5</v>
      </c>
      <c r="E104" s="4" t="s">
        <v>9</v>
      </c>
      <c r="F104" s="4" t="s">
        <v>102</v>
      </c>
      <c r="G104" s="4" t="s">
        <v>535</v>
      </c>
      <c r="H104" s="4" t="s">
        <v>121</v>
      </c>
      <c r="I104" s="4" t="s">
        <v>536</v>
      </c>
      <c r="J104" s="4" t="s">
        <v>99</v>
      </c>
      <c r="K104" s="4" t="s">
        <v>60</v>
      </c>
    </row>
    <row r="105" spans="1:11" ht="28.8" x14ac:dyDescent="0.3">
      <c r="A105" s="4">
        <v>104</v>
      </c>
      <c r="B105" s="4" t="s">
        <v>537</v>
      </c>
      <c r="C105" s="4" t="s">
        <v>386</v>
      </c>
      <c r="D105" s="8" t="s">
        <v>5</v>
      </c>
      <c r="E105" s="4" t="s">
        <v>9</v>
      </c>
      <c r="F105" s="4" t="s">
        <v>260</v>
      </c>
      <c r="G105" s="4" t="s">
        <v>538</v>
      </c>
      <c r="H105" s="4" t="s">
        <v>71</v>
      </c>
      <c r="I105" s="4" t="s">
        <v>539</v>
      </c>
      <c r="J105" s="4" t="s">
        <v>99</v>
      </c>
      <c r="K105" s="4" t="s">
        <v>60</v>
      </c>
    </row>
    <row r="106" spans="1:11" x14ac:dyDescent="0.3">
      <c r="A106" s="4">
        <v>105</v>
      </c>
      <c r="B106" s="4" t="s">
        <v>540</v>
      </c>
      <c r="C106" s="4" t="s">
        <v>55</v>
      </c>
      <c r="D106" s="8" t="s">
        <v>5</v>
      </c>
      <c r="E106" s="4" t="s">
        <v>9</v>
      </c>
      <c r="F106" s="4" t="s">
        <v>541</v>
      </c>
      <c r="G106" s="4" t="s">
        <v>542</v>
      </c>
      <c r="H106" s="4" t="s">
        <v>260</v>
      </c>
      <c r="I106" s="4" t="s">
        <v>543</v>
      </c>
      <c r="J106" s="4" t="s">
        <v>45</v>
      </c>
      <c r="K106" s="4" t="s">
        <v>60</v>
      </c>
    </row>
    <row r="107" spans="1:11" x14ac:dyDescent="0.3">
      <c r="A107" s="4">
        <v>106</v>
      </c>
      <c r="B107" s="4" t="s">
        <v>544</v>
      </c>
      <c r="C107" s="4" t="s">
        <v>62</v>
      </c>
      <c r="D107" s="7" t="s">
        <v>3</v>
      </c>
      <c r="E107" s="4" t="s">
        <v>9</v>
      </c>
      <c r="F107" s="4" t="s">
        <v>71</v>
      </c>
      <c r="G107" s="4" t="s">
        <v>545</v>
      </c>
      <c r="H107" s="4" t="s">
        <v>71</v>
      </c>
      <c r="I107" s="4" t="s">
        <v>546</v>
      </c>
      <c r="J107" s="4" t="s">
        <v>67</v>
      </c>
      <c r="K107" s="4" t="s">
        <v>73</v>
      </c>
    </row>
    <row r="108" spans="1:11" x14ac:dyDescent="0.3">
      <c r="A108" s="4">
        <v>107</v>
      </c>
      <c r="B108" s="4" t="s">
        <v>547</v>
      </c>
      <c r="C108" s="4" t="s">
        <v>62</v>
      </c>
      <c r="D108" s="6" t="s">
        <v>4</v>
      </c>
      <c r="E108" s="4" t="s">
        <v>9</v>
      </c>
      <c r="F108" s="4" t="s">
        <v>77</v>
      </c>
      <c r="G108" s="4" t="s">
        <v>548</v>
      </c>
      <c r="H108" s="4" t="s">
        <v>549</v>
      </c>
      <c r="I108" s="4" t="s">
        <v>550</v>
      </c>
      <c r="J108" s="4" t="s">
        <v>79</v>
      </c>
      <c r="K108" s="4" t="s">
        <v>53</v>
      </c>
    </row>
    <row r="109" spans="1:11" ht="28.8" x14ac:dyDescent="0.3">
      <c r="A109" s="4">
        <v>108</v>
      </c>
      <c r="B109" s="4" t="s">
        <v>551</v>
      </c>
      <c r="C109" s="4" t="s">
        <v>62</v>
      </c>
      <c r="D109" s="6" t="s">
        <v>4</v>
      </c>
      <c r="E109" s="4" t="s">
        <v>9</v>
      </c>
      <c r="F109" s="4" t="s">
        <v>552</v>
      </c>
      <c r="G109" s="4" t="s">
        <v>553</v>
      </c>
      <c r="H109" s="4" t="s">
        <v>549</v>
      </c>
      <c r="I109" s="4" t="s">
        <v>554</v>
      </c>
      <c r="J109" s="4" t="s">
        <v>79</v>
      </c>
      <c r="K109" s="4" t="s">
        <v>53</v>
      </c>
    </row>
    <row r="110" spans="1:11" x14ac:dyDescent="0.3">
      <c r="A110" s="4">
        <v>109</v>
      </c>
      <c r="B110" s="4" t="s">
        <v>555</v>
      </c>
      <c r="C110" s="4" t="s">
        <v>62</v>
      </c>
      <c r="D110" s="6" t="s">
        <v>4</v>
      </c>
      <c r="E110" s="4" t="s">
        <v>9</v>
      </c>
      <c r="F110" s="4" t="s">
        <v>77</v>
      </c>
      <c r="G110" s="4" t="s">
        <v>556</v>
      </c>
      <c r="H110" s="4" t="s">
        <v>77</v>
      </c>
      <c r="I110" s="4" t="s">
        <v>557</v>
      </c>
      <c r="J110" s="4" t="s">
        <v>79</v>
      </c>
      <c r="K110" s="4" t="s">
        <v>53</v>
      </c>
    </row>
    <row r="111" spans="1:11" x14ac:dyDescent="0.3">
      <c r="A111" s="4">
        <v>110</v>
      </c>
      <c r="B111" s="4" t="s">
        <v>558</v>
      </c>
      <c r="C111" s="4" t="s">
        <v>11</v>
      </c>
      <c r="D111" s="6" t="s">
        <v>4</v>
      </c>
      <c r="E111" s="4" t="s">
        <v>217</v>
      </c>
      <c r="F111" s="4" t="s">
        <v>260</v>
      </c>
      <c r="G111" s="4" t="s">
        <v>559</v>
      </c>
      <c r="H111" s="4" t="s">
        <v>71</v>
      </c>
      <c r="I111" s="4" t="s">
        <v>560</v>
      </c>
      <c r="J111" s="4" t="s">
        <v>123</v>
      </c>
      <c r="K111" s="4" t="s">
        <v>124</v>
      </c>
    </row>
    <row r="112" spans="1:11" ht="28.8" x14ac:dyDescent="0.3">
      <c r="A112" s="4">
        <v>111</v>
      </c>
      <c r="B112" s="4" t="s">
        <v>561</v>
      </c>
      <c r="C112" s="4" t="s">
        <v>195</v>
      </c>
      <c r="D112" s="8" t="s">
        <v>5</v>
      </c>
      <c r="E112" s="4" t="s">
        <v>10</v>
      </c>
      <c r="F112" s="4" t="s">
        <v>562</v>
      </c>
      <c r="G112" s="4" t="s">
        <v>563</v>
      </c>
      <c r="H112" s="4" t="s">
        <v>209</v>
      </c>
      <c r="I112" s="4" t="s">
        <v>564</v>
      </c>
      <c r="J112" s="4" t="s">
        <v>200</v>
      </c>
      <c r="K112" s="4" t="s">
        <v>60</v>
      </c>
    </row>
    <row r="113" spans="1:11" ht="28.8" x14ac:dyDescent="0.3">
      <c r="A113" s="4">
        <v>112</v>
      </c>
      <c r="B113" s="4" t="s">
        <v>565</v>
      </c>
      <c r="C113" s="4" t="s">
        <v>126</v>
      </c>
      <c r="D113" s="7" t="s">
        <v>3</v>
      </c>
      <c r="E113" s="4" t="s">
        <v>127</v>
      </c>
      <c r="F113" s="4" t="s">
        <v>142</v>
      </c>
      <c r="G113" s="4" t="s">
        <v>566</v>
      </c>
      <c r="H113" s="4" t="s">
        <v>142</v>
      </c>
      <c r="I113" s="4" t="s">
        <v>567</v>
      </c>
      <c r="J113" s="4" t="s">
        <v>132</v>
      </c>
      <c r="K113" s="4" t="s">
        <v>53</v>
      </c>
    </row>
    <row r="114" spans="1:11" ht="28.8" x14ac:dyDescent="0.3">
      <c r="A114" s="4">
        <v>113</v>
      </c>
      <c r="B114" s="4" t="s">
        <v>568</v>
      </c>
      <c r="C114" s="4" t="s">
        <v>134</v>
      </c>
      <c r="D114" s="6" t="s">
        <v>4</v>
      </c>
      <c r="E114" s="4" t="s">
        <v>10</v>
      </c>
      <c r="F114" s="4" t="s">
        <v>142</v>
      </c>
      <c r="G114" s="4" t="s">
        <v>569</v>
      </c>
      <c r="H114" s="4" t="s">
        <v>142</v>
      </c>
      <c r="I114" s="4" t="s">
        <v>570</v>
      </c>
      <c r="J114" s="4" t="s">
        <v>132</v>
      </c>
      <c r="K114" s="4" t="s">
        <v>89</v>
      </c>
    </row>
    <row r="115" spans="1:11" ht="28.8" x14ac:dyDescent="0.3">
      <c r="A115" s="4">
        <v>114</v>
      </c>
      <c r="B115" s="4" t="s">
        <v>571</v>
      </c>
      <c r="C115" s="4" t="s">
        <v>134</v>
      </c>
      <c r="D115" s="7" t="s">
        <v>3</v>
      </c>
      <c r="E115" s="4" t="s">
        <v>127</v>
      </c>
      <c r="F115" s="4" t="s">
        <v>137</v>
      </c>
      <c r="G115" s="4" t="s">
        <v>572</v>
      </c>
      <c r="H115" s="4" t="s">
        <v>137</v>
      </c>
      <c r="I115" s="4" t="s">
        <v>573</v>
      </c>
      <c r="J115" s="4" t="s">
        <v>132</v>
      </c>
      <c r="K115" s="4" t="s">
        <v>53</v>
      </c>
    </row>
    <row r="116" spans="1:11" x14ac:dyDescent="0.3">
      <c r="A116" s="4">
        <v>115</v>
      </c>
      <c r="B116" s="4" t="s">
        <v>574</v>
      </c>
      <c r="C116" s="4" t="s">
        <v>134</v>
      </c>
      <c r="D116" s="6" t="s">
        <v>4</v>
      </c>
      <c r="E116" s="4" t="s">
        <v>10</v>
      </c>
      <c r="F116" s="4" t="s">
        <v>142</v>
      </c>
      <c r="G116" s="4" t="s">
        <v>575</v>
      </c>
      <c r="H116" s="4" t="s">
        <v>142</v>
      </c>
      <c r="I116" s="4" t="s">
        <v>576</v>
      </c>
      <c r="J116" s="4" t="s">
        <v>132</v>
      </c>
      <c r="K116" s="4" t="s">
        <v>89</v>
      </c>
    </row>
    <row r="117" spans="1:11" x14ac:dyDescent="0.3">
      <c r="A117" s="4">
        <v>116</v>
      </c>
      <c r="B117" s="4" t="s">
        <v>577</v>
      </c>
      <c r="C117" s="4" t="s">
        <v>152</v>
      </c>
      <c r="D117" s="7" t="s">
        <v>3</v>
      </c>
      <c r="E117" s="4" t="s">
        <v>10</v>
      </c>
      <c r="F117" s="4" t="s">
        <v>578</v>
      </c>
      <c r="G117" s="4" t="s">
        <v>579</v>
      </c>
      <c r="H117" s="4" t="s">
        <v>155</v>
      </c>
      <c r="I117" s="4" t="s">
        <v>580</v>
      </c>
      <c r="J117" s="4" t="s">
        <v>132</v>
      </c>
      <c r="K117" s="4" t="s">
        <v>53</v>
      </c>
    </row>
    <row r="118" spans="1:11" ht="43.2" x14ac:dyDescent="0.3">
      <c r="A118" s="4">
        <v>117</v>
      </c>
      <c r="B118" s="4" t="s">
        <v>581</v>
      </c>
      <c r="C118" s="4" t="s">
        <v>158</v>
      </c>
      <c r="D118" s="6" t="s">
        <v>4</v>
      </c>
      <c r="E118" s="4" t="s">
        <v>10</v>
      </c>
      <c r="F118" s="4" t="s">
        <v>582</v>
      </c>
      <c r="G118" s="4" t="s">
        <v>583</v>
      </c>
      <c r="H118" s="4" t="s">
        <v>275</v>
      </c>
      <c r="I118" s="4" t="s">
        <v>584</v>
      </c>
      <c r="J118" s="4" t="s">
        <v>132</v>
      </c>
      <c r="K118" s="4" t="s">
        <v>46</v>
      </c>
    </row>
    <row r="119" spans="1:11" x14ac:dyDescent="0.3">
      <c r="A119" s="4">
        <v>118</v>
      </c>
      <c r="B119" s="4" t="s">
        <v>585</v>
      </c>
      <c r="C119" s="4" t="s">
        <v>55</v>
      </c>
      <c r="D119" s="8" t="s">
        <v>5</v>
      </c>
      <c r="E119" s="4" t="s">
        <v>9</v>
      </c>
      <c r="F119" s="4" t="s">
        <v>104</v>
      </c>
      <c r="G119" s="4" t="s">
        <v>586</v>
      </c>
      <c r="H119" s="4" t="s">
        <v>104</v>
      </c>
      <c r="I119" s="4" t="s">
        <v>117</v>
      </c>
      <c r="J119" s="4" t="s">
        <v>37</v>
      </c>
      <c r="K119" s="4" t="s">
        <v>46</v>
      </c>
    </row>
    <row r="120" spans="1:11" ht="28.8" x14ac:dyDescent="0.3">
      <c r="A120" s="4">
        <v>119</v>
      </c>
      <c r="B120" s="4" t="s">
        <v>587</v>
      </c>
      <c r="C120" s="4" t="s">
        <v>263</v>
      </c>
      <c r="D120" s="6" t="s">
        <v>4</v>
      </c>
      <c r="E120" s="4" t="s">
        <v>12</v>
      </c>
      <c r="F120" s="4" t="s">
        <v>588</v>
      </c>
      <c r="G120" s="4" t="s">
        <v>589</v>
      </c>
      <c r="H120" s="4" t="s">
        <v>142</v>
      </c>
      <c r="I120" s="4" t="s">
        <v>590</v>
      </c>
      <c r="J120" s="4" t="s">
        <v>83</v>
      </c>
      <c r="K120" s="4" t="s">
        <v>89</v>
      </c>
    </row>
    <row r="121" spans="1:11" ht="28.8" x14ac:dyDescent="0.3">
      <c r="A121" s="4">
        <v>120</v>
      </c>
      <c r="B121" s="4" t="s">
        <v>591</v>
      </c>
      <c r="C121" s="4" t="s">
        <v>158</v>
      </c>
      <c r="D121" s="8" t="s">
        <v>5</v>
      </c>
      <c r="E121" s="4" t="s">
        <v>10</v>
      </c>
      <c r="F121" s="4" t="s">
        <v>582</v>
      </c>
      <c r="G121" s="4" t="s">
        <v>592</v>
      </c>
      <c r="H121" s="4" t="s">
        <v>593</v>
      </c>
      <c r="I121" s="4" t="s">
        <v>594</v>
      </c>
      <c r="J121" s="4" t="s">
        <v>132</v>
      </c>
      <c r="K121" s="4" t="s">
        <v>60</v>
      </c>
    </row>
    <row r="122" spans="1:11" ht="28.8" x14ac:dyDescent="0.3">
      <c r="A122" s="4">
        <v>121</v>
      </c>
      <c r="B122" s="4" t="s">
        <v>595</v>
      </c>
      <c r="C122" s="4" t="s">
        <v>158</v>
      </c>
      <c r="D122" s="6" t="s">
        <v>4</v>
      </c>
      <c r="E122" s="4" t="s">
        <v>10</v>
      </c>
      <c r="F122" s="4" t="s">
        <v>582</v>
      </c>
      <c r="G122" s="4" t="s">
        <v>596</v>
      </c>
      <c r="H122" s="4" t="s">
        <v>275</v>
      </c>
      <c r="I122" s="4" t="s">
        <v>597</v>
      </c>
      <c r="J122" s="4" t="s">
        <v>132</v>
      </c>
      <c r="K122" s="4" t="s">
        <v>46</v>
      </c>
    </row>
    <row r="123" spans="1:11" ht="28.8" x14ac:dyDescent="0.3">
      <c r="A123" s="4">
        <v>122</v>
      </c>
      <c r="B123" s="4" t="s">
        <v>598</v>
      </c>
      <c r="C123" s="4" t="s">
        <v>441</v>
      </c>
      <c r="D123" s="8" t="s">
        <v>5</v>
      </c>
      <c r="E123" s="4" t="s">
        <v>9</v>
      </c>
      <c r="F123" s="4" t="s">
        <v>77</v>
      </c>
      <c r="G123" s="4" t="s">
        <v>599</v>
      </c>
      <c r="H123" s="4" t="s">
        <v>77</v>
      </c>
      <c r="I123" s="4" t="s">
        <v>600</v>
      </c>
      <c r="J123" s="4" t="s">
        <v>79</v>
      </c>
      <c r="K123" s="4" t="s">
        <v>445</v>
      </c>
    </row>
    <row r="124" spans="1:11" ht="57.6" x14ac:dyDescent="0.3">
      <c r="A124" s="4">
        <v>123</v>
      </c>
      <c r="B124" s="4" t="s">
        <v>601</v>
      </c>
      <c r="C124" s="4" t="s">
        <v>395</v>
      </c>
      <c r="D124" s="6" t="s">
        <v>4</v>
      </c>
      <c r="E124" s="4" t="s">
        <v>12</v>
      </c>
      <c r="F124" s="4" t="s">
        <v>398</v>
      </c>
      <c r="G124" s="4" t="s">
        <v>602</v>
      </c>
      <c r="H124" s="4" t="s">
        <v>398</v>
      </c>
      <c r="I124" s="4" t="s">
        <v>603</v>
      </c>
      <c r="J124" s="4" t="s">
        <v>200</v>
      </c>
      <c r="K124" s="4" t="s">
        <v>89</v>
      </c>
    </row>
  </sheetData>
  <autoFilter ref="A1:K12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939B-64BD-4489-B104-57F4C03FBCAC}">
  <dimension ref="A1:K128"/>
  <sheetViews>
    <sheetView topLeftCell="A125" workbookViewId="0">
      <selection activeCell="C131" sqref="C131"/>
    </sheetView>
  </sheetViews>
  <sheetFormatPr defaultColWidth="25" defaultRowHeight="36.6" customHeight="1" x14ac:dyDescent="0.3"/>
  <cols>
    <col min="1" max="1" width="11.88671875" style="17" customWidth="1"/>
    <col min="2" max="2" width="35" customWidth="1"/>
  </cols>
  <sheetData>
    <row r="1" spans="1:11" ht="36.6" customHeight="1" x14ac:dyDescent="0.3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</row>
    <row r="2" spans="1:11" ht="36.6" customHeight="1" x14ac:dyDescent="0.3">
      <c r="A2" s="16">
        <v>1</v>
      </c>
      <c r="B2" s="11" t="s">
        <v>604</v>
      </c>
      <c r="C2" s="11" t="s">
        <v>32</v>
      </c>
      <c r="D2" s="12" t="s">
        <v>6</v>
      </c>
      <c r="E2" s="11" t="s">
        <v>9</v>
      </c>
      <c r="F2" s="11" t="s">
        <v>605</v>
      </c>
      <c r="G2" s="11" t="s">
        <v>606</v>
      </c>
      <c r="H2" s="11" t="s">
        <v>607</v>
      </c>
      <c r="I2" s="11" t="s">
        <v>608</v>
      </c>
      <c r="J2" s="11" t="s">
        <v>37</v>
      </c>
      <c r="K2" s="11" t="s">
        <v>38</v>
      </c>
    </row>
    <row r="3" spans="1:11" ht="36.6" customHeight="1" x14ac:dyDescent="0.3">
      <c r="A3" s="16">
        <v>2</v>
      </c>
      <c r="B3" s="11" t="s">
        <v>609</v>
      </c>
      <c r="C3" s="11" t="s">
        <v>40</v>
      </c>
      <c r="D3" s="13" t="s">
        <v>4</v>
      </c>
      <c r="E3" s="11" t="s">
        <v>9</v>
      </c>
      <c r="F3" s="11" t="s">
        <v>610</v>
      </c>
      <c r="G3" s="11" t="s">
        <v>611</v>
      </c>
      <c r="H3" s="11" t="s">
        <v>612</v>
      </c>
      <c r="I3" s="11" t="s">
        <v>613</v>
      </c>
      <c r="J3" s="11" t="s">
        <v>45</v>
      </c>
      <c r="K3" s="11" t="s">
        <v>46</v>
      </c>
    </row>
    <row r="4" spans="1:11" ht="36.6" customHeight="1" x14ac:dyDescent="0.3">
      <c r="A4" s="16">
        <v>3</v>
      </c>
      <c r="B4" s="11" t="s">
        <v>614</v>
      </c>
      <c r="C4" s="11" t="s">
        <v>48</v>
      </c>
      <c r="D4" s="14" t="s">
        <v>3</v>
      </c>
      <c r="E4" s="11" t="s">
        <v>9</v>
      </c>
      <c r="F4" s="11" t="s">
        <v>615</v>
      </c>
      <c r="G4" s="11" t="s">
        <v>616</v>
      </c>
      <c r="H4" s="11" t="s">
        <v>617</v>
      </c>
      <c r="I4" s="11" t="s">
        <v>618</v>
      </c>
      <c r="J4" s="11" t="s">
        <v>52</v>
      </c>
      <c r="K4" s="11" t="s">
        <v>53</v>
      </c>
    </row>
    <row r="5" spans="1:11" ht="36.6" customHeight="1" x14ac:dyDescent="0.3">
      <c r="A5" s="16">
        <v>4</v>
      </c>
      <c r="B5" s="11" t="s">
        <v>54</v>
      </c>
      <c r="C5" s="11" t="s">
        <v>55</v>
      </c>
      <c r="D5" s="15" t="s">
        <v>5</v>
      </c>
      <c r="E5" s="11" t="s">
        <v>9</v>
      </c>
      <c r="F5" s="11" t="s">
        <v>619</v>
      </c>
      <c r="G5" s="11" t="s">
        <v>620</v>
      </c>
      <c r="H5" s="11" t="s">
        <v>621</v>
      </c>
      <c r="I5" s="11" t="s">
        <v>622</v>
      </c>
      <c r="J5" s="11" t="s">
        <v>45</v>
      </c>
      <c r="K5" s="11" t="s">
        <v>60</v>
      </c>
    </row>
    <row r="6" spans="1:11" ht="36.6" customHeight="1" x14ac:dyDescent="0.3">
      <c r="A6" s="16">
        <v>5</v>
      </c>
      <c r="B6" s="11" t="s">
        <v>623</v>
      </c>
      <c r="C6" s="11" t="s">
        <v>62</v>
      </c>
      <c r="D6" s="13" t="s">
        <v>4</v>
      </c>
      <c r="E6" s="11" t="s">
        <v>9</v>
      </c>
      <c r="F6" s="11" t="s">
        <v>624</v>
      </c>
      <c r="G6" s="11" t="s">
        <v>64</v>
      </c>
      <c r="H6" s="11" t="s">
        <v>625</v>
      </c>
      <c r="I6" s="11" t="s">
        <v>626</v>
      </c>
      <c r="J6" s="11" t="s">
        <v>67</v>
      </c>
      <c r="K6" s="11" t="s">
        <v>53</v>
      </c>
    </row>
    <row r="7" spans="1:11" ht="36.6" customHeight="1" x14ac:dyDescent="0.3">
      <c r="A7" s="16">
        <v>6</v>
      </c>
      <c r="B7" s="11" t="s">
        <v>68</v>
      </c>
      <c r="C7" s="11" t="s">
        <v>62</v>
      </c>
      <c r="D7" s="14" t="s">
        <v>3</v>
      </c>
      <c r="E7" s="11" t="s">
        <v>9</v>
      </c>
      <c r="F7" s="11" t="s">
        <v>627</v>
      </c>
      <c r="G7" s="11" t="s">
        <v>628</v>
      </c>
      <c r="H7" s="11" t="s">
        <v>629</v>
      </c>
      <c r="I7" s="11" t="s">
        <v>630</v>
      </c>
      <c r="J7" s="11" t="s">
        <v>67</v>
      </c>
      <c r="K7" s="11" t="s">
        <v>73</v>
      </c>
    </row>
    <row r="8" spans="1:11" ht="36.6" customHeight="1" x14ac:dyDescent="0.3">
      <c r="A8" s="16">
        <v>7</v>
      </c>
      <c r="B8" s="11" t="s">
        <v>631</v>
      </c>
      <c r="C8" s="11" t="s">
        <v>62</v>
      </c>
      <c r="D8" s="13" t="s">
        <v>4</v>
      </c>
      <c r="E8" s="11" t="s">
        <v>9</v>
      </c>
      <c r="F8" s="11" t="s">
        <v>632</v>
      </c>
      <c r="G8" s="11" t="s">
        <v>633</v>
      </c>
      <c r="H8" s="11" t="s">
        <v>634</v>
      </c>
      <c r="I8" s="11" t="s">
        <v>635</v>
      </c>
      <c r="J8" s="11" t="s">
        <v>79</v>
      </c>
      <c r="K8" s="11" t="s">
        <v>53</v>
      </c>
    </row>
    <row r="9" spans="1:11" ht="36.6" customHeight="1" x14ac:dyDescent="0.3">
      <c r="A9" s="16">
        <v>8</v>
      </c>
      <c r="B9" s="11" t="s">
        <v>636</v>
      </c>
      <c r="C9" s="11" t="s">
        <v>62</v>
      </c>
      <c r="D9" s="13" t="s">
        <v>4</v>
      </c>
      <c r="E9" s="11" t="s">
        <v>9</v>
      </c>
      <c r="F9" s="11" t="s">
        <v>637</v>
      </c>
      <c r="G9" s="11" t="s">
        <v>638</v>
      </c>
      <c r="H9" s="11" t="s">
        <v>639</v>
      </c>
      <c r="I9" s="11" t="s">
        <v>640</v>
      </c>
      <c r="J9" s="11" t="s">
        <v>83</v>
      </c>
      <c r="K9" s="11" t="s">
        <v>46</v>
      </c>
    </row>
    <row r="10" spans="1:11" ht="36.6" customHeight="1" x14ac:dyDescent="0.3">
      <c r="A10" s="16">
        <v>9</v>
      </c>
      <c r="B10" s="11" t="s">
        <v>641</v>
      </c>
      <c r="C10" s="11" t="s">
        <v>642</v>
      </c>
      <c r="D10" s="13" t="s">
        <v>4</v>
      </c>
      <c r="E10" s="11" t="s">
        <v>9</v>
      </c>
      <c r="F10" s="11" t="s">
        <v>643</v>
      </c>
      <c r="G10" s="11" t="s">
        <v>644</v>
      </c>
      <c r="H10" s="11" t="s">
        <v>643</v>
      </c>
      <c r="I10" s="11" t="s">
        <v>645</v>
      </c>
      <c r="J10" s="11" t="s">
        <v>200</v>
      </c>
      <c r="K10" s="11" t="s">
        <v>89</v>
      </c>
    </row>
    <row r="11" spans="1:11" ht="36.6" customHeight="1" x14ac:dyDescent="0.3">
      <c r="A11" s="16">
        <v>10</v>
      </c>
      <c r="B11" s="11" t="s">
        <v>646</v>
      </c>
      <c r="C11" s="11" t="s">
        <v>642</v>
      </c>
      <c r="D11" s="13" t="s">
        <v>4</v>
      </c>
      <c r="E11" s="11" t="s">
        <v>9</v>
      </c>
      <c r="F11" s="11" t="s">
        <v>647</v>
      </c>
      <c r="G11" s="11" t="s">
        <v>648</v>
      </c>
      <c r="H11" s="11" t="s">
        <v>649</v>
      </c>
      <c r="I11" s="11" t="s">
        <v>650</v>
      </c>
      <c r="J11" s="11" t="s">
        <v>200</v>
      </c>
      <c r="K11" s="11" t="s">
        <v>89</v>
      </c>
    </row>
    <row r="12" spans="1:11" ht="36.6" customHeight="1" x14ac:dyDescent="0.3">
      <c r="A12" s="16">
        <v>11</v>
      </c>
      <c r="B12" s="11" t="s">
        <v>651</v>
      </c>
      <c r="C12" s="11" t="s">
        <v>642</v>
      </c>
      <c r="D12" s="15" t="s">
        <v>5</v>
      </c>
      <c r="E12" s="11" t="s">
        <v>9</v>
      </c>
      <c r="F12" s="11" t="s">
        <v>652</v>
      </c>
      <c r="G12" s="11" t="s">
        <v>653</v>
      </c>
      <c r="H12" s="11" t="s">
        <v>654</v>
      </c>
      <c r="I12" s="11" t="s">
        <v>655</v>
      </c>
      <c r="J12" s="11" t="s">
        <v>37</v>
      </c>
      <c r="K12" s="11" t="s">
        <v>46</v>
      </c>
    </row>
    <row r="13" spans="1:11" ht="36.6" customHeight="1" x14ac:dyDescent="0.3">
      <c r="A13" s="16">
        <v>12</v>
      </c>
      <c r="B13" s="11" t="s">
        <v>656</v>
      </c>
      <c r="C13" s="11" t="s">
        <v>657</v>
      </c>
      <c r="D13" s="13" t="s">
        <v>4</v>
      </c>
      <c r="E13" s="11" t="s">
        <v>9</v>
      </c>
      <c r="F13" s="11" t="s">
        <v>658</v>
      </c>
      <c r="G13" s="11" t="s">
        <v>659</v>
      </c>
      <c r="H13" s="11" t="s">
        <v>658</v>
      </c>
      <c r="I13" s="11" t="s">
        <v>660</v>
      </c>
      <c r="J13" s="11" t="s">
        <v>99</v>
      </c>
      <c r="K13" s="11" t="s">
        <v>89</v>
      </c>
    </row>
    <row r="14" spans="1:11" ht="36.6" customHeight="1" x14ac:dyDescent="0.3">
      <c r="A14" s="16">
        <v>13</v>
      </c>
      <c r="B14" s="11" t="s">
        <v>661</v>
      </c>
      <c r="C14" s="11" t="s">
        <v>111</v>
      </c>
      <c r="D14" s="13" t="s">
        <v>4</v>
      </c>
      <c r="E14" s="11" t="s">
        <v>9</v>
      </c>
      <c r="F14" s="11" t="s">
        <v>662</v>
      </c>
      <c r="G14" s="11" t="s">
        <v>663</v>
      </c>
      <c r="H14" s="11" t="s">
        <v>662</v>
      </c>
      <c r="I14" s="11" t="s">
        <v>664</v>
      </c>
      <c r="J14" s="11" t="s">
        <v>99</v>
      </c>
      <c r="K14" s="11" t="s">
        <v>89</v>
      </c>
    </row>
    <row r="15" spans="1:11" ht="36.6" customHeight="1" x14ac:dyDescent="0.3">
      <c r="A15" s="16">
        <v>14</v>
      </c>
      <c r="B15" s="11" t="s">
        <v>665</v>
      </c>
      <c r="C15" s="11" t="s">
        <v>111</v>
      </c>
      <c r="D15" s="13" t="s">
        <v>4</v>
      </c>
      <c r="E15" s="11" t="s">
        <v>9</v>
      </c>
      <c r="F15" s="11" t="s">
        <v>666</v>
      </c>
      <c r="G15" s="11" t="s">
        <v>667</v>
      </c>
      <c r="H15" s="11" t="s">
        <v>668</v>
      </c>
      <c r="I15" s="11" t="s">
        <v>669</v>
      </c>
      <c r="J15" s="11" t="s">
        <v>99</v>
      </c>
      <c r="K15" s="11" t="s">
        <v>46</v>
      </c>
    </row>
    <row r="16" spans="1:11" ht="36.6" customHeight="1" x14ac:dyDescent="0.3">
      <c r="A16" s="16">
        <v>15</v>
      </c>
      <c r="B16" s="11" t="s">
        <v>670</v>
      </c>
      <c r="C16" s="11" t="s">
        <v>55</v>
      </c>
      <c r="D16" s="12" t="s">
        <v>6</v>
      </c>
      <c r="E16" s="11" t="s">
        <v>9</v>
      </c>
      <c r="F16" s="11" t="s">
        <v>671</v>
      </c>
      <c r="G16" s="11" t="s">
        <v>672</v>
      </c>
      <c r="H16" s="11" t="s">
        <v>673</v>
      </c>
      <c r="I16" s="11" t="s">
        <v>674</v>
      </c>
      <c r="J16" s="11" t="s">
        <v>37</v>
      </c>
      <c r="K16" s="11" t="s">
        <v>46</v>
      </c>
    </row>
    <row r="17" spans="1:11" ht="36.6" customHeight="1" x14ac:dyDescent="0.3">
      <c r="A17" s="16">
        <v>16</v>
      </c>
      <c r="B17" s="11" t="s">
        <v>675</v>
      </c>
      <c r="C17" s="11" t="s">
        <v>11</v>
      </c>
      <c r="D17" s="14" t="s">
        <v>3</v>
      </c>
      <c r="E17" s="11" t="s">
        <v>9</v>
      </c>
      <c r="F17" s="11" t="s">
        <v>666</v>
      </c>
      <c r="G17" s="11" t="s">
        <v>676</v>
      </c>
      <c r="H17" s="11" t="s">
        <v>658</v>
      </c>
      <c r="I17" s="11" t="s">
        <v>677</v>
      </c>
      <c r="J17" s="11" t="s">
        <v>123</v>
      </c>
      <c r="K17" s="11" t="s">
        <v>100</v>
      </c>
    </row>
    <row r="18" spans="1:11" ht="36.6" customHeight="1" x14ac:dyDescent="0.3">
      <c r="A18" s="16">
        <v>17</v>
      </c>
      <c r="B18" s="11" t="s">
        <v>678</v>
      </c>
      <c r="C18" s="11" t="s">
        <v>126</v>
      </c>
      <c r="D18" s="14" t="s">
        <v>3</v>
      </c>
      <c r="E18" s="11" t="s">
        <v>127</v>
      </c>
      <c r="F18" s="11" t="s">
        <v>679</v>
      </c>
      <c r="G18" s="11" t="s">
        <v>680</v>
      </c>
      <c r="H18" s="11" t="s">
        <v>679</v>
      </c>
      <c r="I18" s="11" t="s">
        <v>681</v>
      </c>
      <c r="J18" s="11" t="s">
        <v>132</v>
      </c>
      <c r="K18" s="11" t="s">
        <v>53</v>
      </c>
    </row>
    <row r="19" spans="1:11" ht="36.6" customHeight="1" x14ac:dyDescent="0.3">
      <c r="A19" s="16">
        <v>18</v>
      </c>
      <c r="B19" s="11" t="s">
        <v>133</v>
      </c>
      <c r="C19" s="11" t="s">
        <v>134</v>
      </c>
      <c r="D19" s="14" t="s">
        <v>3</v>
      </c>
      <c r="E19" s="11" t="s">
        <v>127</v>
      </c>
      <c r="F19" s="11" t="s">
        <v>682</v>
      </c>
      <c r="G19" s="11" t="s">
        <v>683</v>
      </c>
      <c r="H19" s="11" t="s">
        <v>684</v>
      </c>
      <c r="I19" s="11" t="s">
        <v>685</v>
      </c>
      <c r="J19" s="11" t="s">
        <v>132</v>
      </c>
      <c r="K19" s="11" t="s">
        <v>53</v>
      </c>
    </row>
    <row r="20" spans="1:11" ht="36.6" customHeight="1" x14ac:dyDescent="0.3">
      <c r="A20" s="16">
        <v>19</v>
      </c>
      <c r="B20" s="11" t="s">
        <v>686</v>
      </c>
      <c r="C20" s="11" t="s">
        <v>134</v>
      </c>
      <c r="D20" s="13" t="s">
        <v>4</v>
      </c>
      <c r="E20" s="11" t="s">
        <v>10</v>
      </c>
      <c r="F20" s="11" t="s">
        <v>687</v>
      </c>
      <c r="G20" s="11" t="s">
        <v>688</v>
      </c>
      <c r="H20" s="11" t="s">
        <v>687</v>
      </c>
      <c r="I20" s="11" t="s">
        <v>689</v>
      </c>
      <c r="J20" s="11" t="s">
        <v>132</v>
      </c>
      <c r="K20" s="11" t="s">
        <v>89</v>
      </c>
    </row>
    <row r="21" spans="1:11" ht="36.6" customHeight="1" x14ac:dyDescent="0.3">
      <c r="A21" s="16">
        <v>20</v>
      </c>
      <c r="B21" s="11" t="s">
        <v>690</v>
      </c>
      <c r="C21" s="11" t="s">
        <v>134</v>
      </c>
      <c r="D21" s="13" t="s">
        <v>4</v>
      </c>
      <c r="E21" s="11" t="s">
        <v>10</v>
      </c>
      <c r="F21" s="11" t="s">
        <v>691</v>
      </c>
      <c r="G21" s="11" t="s">
        <v>692</v>
      </c>
      <c r="H21" s="11" t="s">
        <v>691</v>
      </c>
      <c r="I21" s="11" t="s">
        <v>693</v>
      </c>
      <c r="J21" s="11" t="s">
        <v>132</v>
      </c>
      <c r="K21" s="11" t="s">
        <v>89</v>
      </c>
    </row>
    <row r="22" spans="1:11" ht="36.6" customHeight="1" x14ac:dyDescent="0.3">
      <c r="A22" s="16">
        <v>21</v>
      </c>
      <c r="B22" s="11" t="s">
        <v>694</v>
      </c>
      <c r="C22" s="11" t="s">
        <v>134</v>
      </c>
      <c r="D22" s="13" t="s">
        <v>4</v>
      </c>
      <c r="E22" s="11" t="s">
        <v>10</v>
      </c>
      <c r="F22" s="11" t="s">
        <v>695</v>
      </c>
      <c r="G22" s="11" t="s">
        <v>696</v>
      </c>
      <c r="H22" s="11" t="s">
        <v>697</v>
      </c>
      <c r="I22" s="11" t="s">
        <v>698</v>
      </c>
      <c r="J22" s="11" t="s">
        <v>132</v>
      </c>
      <c r="K22" s="11" t="s">
        <v>89</v>
      </c>
    </row>
    <row r="23" spans="1:11" ht="36.6" customHeight="1" x14ac:dyDescent="0.3">
      <c r="A23" s="16">
        <v>22</v>
      </c>
      <c r="B23" s="11" t="s">
        <v>699</v>
      </c>
      <c r="C23" s="11" t="s">
        <v>152</v>
      </c>
      <c r="D23" s="14" t="s">
        <v>3</v>
      </c>
      <c r="E23" s="11" t="s">
        <v>10</v>
      </c>
      <c r="F23" s="11" t="s">
        <v>700</v>
      </c>
      <c r="G23" s="11" t="s">
        <v>701</v>
      </c>
      <c r="H23" s="11" t="s">
        <v>702</v>
      </c>
      <c r="I23" s="11" t="s">
        <v>703</v>
      </c>
      <c r="J23" s="11" t="s">
        <v>132</v>
      </c>
      <c r="K23" s="11" t="s">
        <v>53</v>
      </c>
    </row>
    <row r="24" spans="1:11" ht="36.6" customHeight="1" x14ac:dyDescent="0.3">
      <c r="A24" s="16">
        <v>23</v>
      </c>
      <c r="B24" s="11" t="s">
        <v>704</v>
      </c>
      <c r="C24" s="11" t="s">
        <v>158</v>
      </c>
      <c r="D24" s="15" t="s">
        <v>5</v>
      </c>
      <c r="E24" s="11" t="s">
        <v>10</v>
      </c>
      <c r="F24" s="11" t="s">
        <v>705</v>
      </c>
      <c r="G24" s="11" t="s">
        <v>706</v>
      </c>
      <c r="H24" s="11" t="s">
        <v>705</v>
      </c>
      <c r="I24" s="11" t="s">
        <v>707</v>
      </c>
      <c r="J24" s="11" t="s">
        <v>132</v>
      </c>
      <c r="K24" s="11" t="s">
        <v>60</v>
      </c>
    </row>
    <row r="25" spans="1:11" ht="36.6" customHeight="1" x14ac:dyDescent="0.3">
      <c r="A25" s="16">
        <v>24</v>
      </c>
      <c r="B25" s="11" t="s">
        <v>708</v>
      </c>
      <c r="C25" s="11" t="s">
        <v>164</v>
      </c>
      <c r="D25" s="13" t="s">
        <v>4</v>
      </c>
      <c r="E25" s="11" t="s">
        <v>10</v>
      </c>
      <c r="F25" s="11" t="s">
        <v>705</v>
      </c>
      <c r="G25" s="11" t="s">
        <v>709</v>
      </c>
      <c r="H25" s="11" t="s">
        <v>705</v>
      </c>
      <c r="I25" s="11" t="s">
        <v>710</v>
      </c>
      <c r="J25" s="11" t="s">
        <v>67</v>
      </c>
      <c r="K25" s="11" t="s">
        <v>89</v>
      </c>
    </row>
    <row r="26" spans="1:11" ht="36.6" customHeight="1" x14ac:dyDescent="0.3">
      <c r="A26" s="16">
        <v>25</v>
      </c>
      <c r="B26" s="11" t="s">
        <v>711</v>
      </c>
      <c r="C26" s="11" t="s">
        <v>164</v>
      </c>
      <c r="D26" s="14" t="s">
        <v>3</v>
      </c>
      <c r="E26" s="11" t="s">
        <v>10</v>
      </c>
      <c r="F26" s="11" t="s">
        <v>712</v>
      </c>
      <c r="G26" s="11" t="s">
        <v>713</v>
      </c>
      <c r="H26" s="11" t="s">
        <v>712</v>
      </c>
      <c r="I26" s="11" t="s">
        <v>714</v>
      </c>
      <c r="J26" s="11" t="s">
        <v>67</v>
      </c>
      <c r="K26" s="11" t="s">
        <v>100</v>
      </c>
    </row>
    <row r="27" spans="1:11" ht="36.6" customHeight="1" x14ac:dyDescent="0.3">
      <c r="A27" s="16">
        <v>26</v>
      </c>
      <c r="B27" s="11" t="s">
        <v>715</v>
      </c>
      <c r="C27" s="11" t="s">
        <v>164</v>
      </c>
      <c r="D27" s="13" t="s">
        <v>4</v>
      </c>
      <c r="E27" s="11" t="s">
        <v>10</v>
      </c>
      <c r="F27" s="11" t="s">
        <v>716</v>
      </c>
      <c r="G27" s="11" t="s">
        <v>717</v>
      </c>
      <c r="H27" s="11" t="s">
        <v>172</v>
      </c>
      <c r="I27" s="11" t="s">
        <v>718</v>
      </c>
      <c r="J27" s="11" t="s">
        <v>67</v>
      </c>
      <c r="K27" s="11" t="s">
        <v>89</v>
      </c>
    </row>
    <row r="28" spans="1:11" ht="36.6" customHeight="1" x14ac:dyDescent="0.3">
      <c r="A28" s="16">
        <v>27</v>
      </c>
      <c r="B28" s="11" t="s">
        <v>719</v>
      </c>
      <c r="C28" s="11" t="s">
        <v>164</v>
      </c>
      <c r="D28" s="13" t="s">
        <v>4</v>
      </c>
      <c r="E28" s="11" t="s">
        <v>10</v>
      </c>
      <c r="F28" s="11" t="s">
        <v>720</v>
      </c>
      <c r="G28" s="11" t="s">
        <v>721</v>
      </c>
      <c r="H28" s="11" t="s">
        <v>722</v>
      </c>
      <c r="I28" s="11" t="s">
        <v>723</v>
      </c>
      <c r="J28" s="11" t="s">
        <v>67</v>
      </c>
      <c r="K28" s="11" t="s">
        <v>89</v>
      </c>
    </row>
    <row r="29" spans="1:11" ht="36.6" customHeight="1" x14ac:dyDescent="0.3">
      <c r="A29" s="16">
        <v>28</v>
      </c>
      <c r="B29" s="11" t="s">
        <v>724</v>
      </c>
      <c r="C29" s="11" t="s">
        <v>11</v>
      </c>
      <c r="D29" s="13" t="s">
        <v>4</v>
      </c>
      <c r="E29" s="11" t="s">
        <v>127</v>
      </c>
      <c r="F29" s="11" t="s">
        <v>725</v>
      </c>
      <c r="G29" s="11" t="s">
        <v>726</v>
      </c>
      <c r="H29" s="11" t="s">
        <v>725</v>
      </c>
      <c r="I29" s="11" t="s">
        <v>727</v>
      </c>
      <c r="J29" s="11" t="s">
        <v>123</v>
      </c>
      <c r="K29" s="11" t="s">
        <v>89</v>
      </c>
    </row>
    <row r="30" spans="1:11" ht="36.6" customHeight="1" x14ac:dyDescent="0.3">
      <c r="A30" s="16">
        <v>29</v>
      </c>
      <c r="B30" s="11" t="s">
        <v>221</v>
      </c>
      <c r="C30" s="11" t="s">
        <v>11</v>
      </c>
      <c r="D30" s="14" t="s">
        <v>3</v>
      </c>
      <c r="E30" s="11" t="s">
        <v>10</v>
      </c>
      <c r="F30" s="11" t="s">
        <v>728</v>
      </c>
      <c r="G30" s="11" t="s">
        <v>729</v>
      </c>
      <c r="H30" s="11" t="s">
        <v>730</v>
      </c>
      <c r="I30" s="11" t="s">
        <v>731</v>
      </c>
      <c r="J30" s="11" t="s">
        <v>123</v>
      </c>
      <c r="K30" s="11" t="s">
        <v>124</v>
      </c>
    </row>
    <row r="31" spans="1:11" ht="36.6" customHeight="1" x14ac:dyDescent="0.3">
      <c r="A31" s="16">
        <v>30</v>
      </c>
      <c r="B31" s="11" t="s">
        <v>225</v>
      </c>
      <c r="C31" s="11" t="s">
        <v>11</v>
      </c>
      <c r="D31" s="14" t="s">
        <v>3</v>
      </c>
      <c r="E31" s="11" t="s">
        <v>11</v>
      </c>
      <c r="F31" s="11" t="s">
        <v>732</v>
      </c>
      <c r="G31" s="11" t="s">
        <v>227</v>
      </c>
      <c r="H31" s="11" t="s">
        <v>733</v>
      </c>
      <c r="I31" s="11" t="s">
        <v>734</v>
      </c>
      <c r="J31" s="11" t="s">
        <v>123</v>
      </c>
      <c r="K31" s="11" t="s">
        <v>100</v>
      </c>
    </row>
    <row r="32" spans="1:11" ht="36.6" customHeight="1" x14ac:dyDescent="0.3">
      <c r="A32" s="16">
        <v>31</v>
      </c>
      <c r="B32" s="11" t="s">
        <v>229</v>
      </c>
      <c r="C32" s="11" t="s">
        <v>11</v>
      </c>
      <c r="D32" s="14" t="s">
        <v>3</v>
      </c>
      <c r="E32" s="11" t="s">
        <v>11</v>
      </c>
      <c r="F32" s="11" t="s">
        <v>232</v>
      </c>
      <c r="G32" s="11" t="s">
        <v>231</v>
      </c>
      <c r="H32" s="11" t="s">
        <v>735</v>
      </c>
      <c r="I32" s="11" t="s">
        <v>736</v>
      </c>
      <c r="J32" s="11" t="s">
        <v>123</v>
      </c>
      <c r="K32" s="11" t="s">
        <v>124</v>
      </c>
    </row>
    <row r="33" spans="1:11" ht="36.6" customHeight="1" x14ac:dyDescent="0.3">
      <c r="A33" s="16">
        <v>32</v>
      </c>
      <c r="B33" s="11" t="s">
        <v>234</v>
      </c>
      <c r="C33" s="11" t="s">
        <v>11</v>
      </c>
      <c r="D33" s="14" t="s">
        <v>3</v>
      </c>
      <c r="E33" s="11" t="s">
        <v>11</v>
      </c>
      <c r="F33" s="11" t="s">
        <v>235</v>
      </c>
      <c r="G33" s="11" t="s">
        <v>737</v>
      </c>
      <c r="H33" s="11" t="s">
        <v>237</v>
      </c>
      <c r="I33" s="11" t="s">
        <v>738</v>
      </c>
      <c r="J33" s="11" t="s">
        <v>123</v>
      </c>
      <c r="K33" s="11" t="s">
        <v>124</v>
      </c>
    </row>
    <row r="34" spans="1:11" ht="36.6" customHeight="1" x14ac:dyDescent="0.3">
      <c r="A34" s="16">
        <v>33</v>
      </c>
      <c r="B34" s="11" t="s">
        <v>739</v>
      </c>
      <c r="C34" s="11" t="s">
        <v>11</v>
      </c>
      <c r="D34" s="14" t="s">
        <v>3</v>
      </c>
      <c r="E34" s="11" t="s">
        <v>240</v>
      </c>
      <c r="F34" s="11" t="s">
        <v>621</v>
      </c>
      <c r="G34" s="11" t="s">
        <v>740</v>
      </c>
      <c r="H34" s="11" t="s">
        <v>741</v>
      </c>
      <c r="I34" s="11" t="s">
        <v>742</v>
      </c>
      <c r="J34" s="11" t="s">
        <v>123</v>
      </c>
      <c r="K34" s="11" t="s">
        <v>124</v>
      </c>
    </row>
    <row r="35" spans="1:11" ht="36.6" customHeight="1" x14ac:dyDescent="0.3">
      <c r="A35" s="16">
        <v>34</v>
      </c>
      <c r="B35" s="11" t="s">
        <v>743</v>
      </c>
      <c r="C35" s="11" t="s">
        <v>195</v>
      </c>
      <c r="D35" s="13" t="s">
        <v>4</v>
      </c>
      <c r="E35" s="11" t="s">
        <v>10</v>
      </c>
      <c r="F35" s="11" t="s">
        <v>712</v>
      </c>
      <c r="G35" s="11" t="s">
        <v>744</v>
      </c>
      <c r="H35" s="11" t="s">
        <v>745</v>
      </c>
      <c r="I35" s="11" t="s">
        <v>746</v>
      </c>
      <c r="J35" s="11" t="s">
        <v>200</v>
      </c>
      <c r="K35" s="11" t="s">
        <v>46</v>
      </c>
    </row>
    <row r="36" spans="1:11" ht="36.6" customHeight="1" x14ac:dyDescent="0.3">
      <c r="A36" s="16">
        <v>35</v>
      </c>
      <c r="B36" s="11" t="s">
        <v>747</v>
      </c>
      <c r="C36" s="11" t="s">
        <v>195</v>
      </c>
      <c r="D36" s="13" t="s">
        <v>4</v>
      </c>
      <c r="E36" s="11" t="s">
        <v>10</v>
      </c>
      <c r="F36" s="11" t="s">
        <v>748</v>
      </c>
      <c r="G36" s="11" t="s">
        <v>749</v>
      </c>
      <c r="H36" s="11" t="s">
        <v>745</v>
      </c>
      <c r="I36" s="11" t="s">
        <v>750</v>
      </c>
      <c r="J36" s="11" t="s">
        <v>200</v>
      </c>
      <c r="K36" s="11" t="s">
        <v>89</v>
      </c>
    </row>
    <row r="37" spans="1:11" ht="36.6" customHeight="1" x14ac:dyDescent="0.3">
      <c r="A37" s="16">
        <v>36</v>
      </c>
      <c r="B37" s="11" t="s">
        <v>751</v>
      </c>
      <c r="C37" s="11" t="s">
        <v>195</v>
      </c>
      <c r="D37" s="15" t="s">
        <v>5</v>
      </c>
      <c r="E37" s="11" t="s">
        <v>10</v>
      </c>
      <c r="F37" s="11" t="s">
        <v>752</v>
      </c>
      <c r="G37" s="11" t="s">
        <v>753</v>
      </c>
      <c r="H37" s="11" t="s">
        <v>754</v>
      </c>
      <c r="I37" s="11" t="s">
        <v>755</v>
      </c>
      <c r="J37" s="11" t="s">
        <v>200</v>
      </c>
      <c r="K37" s="11" t="s">
        <v>60</v>
      </c>
    </row>
    <row r="38" spans="1:11" ht="36.6" customHeight="1" x14ac:dyDescent="0.3">
      <c r="A38" s="16">
        <v>37</v>
      </c>
      <c r="B38" s="11" t="s">
        <v>756</v>
      </c>
      <c r="C38" s="11" t="s">
        <v>195</v>
      </c>
      <c r="D38" s="13" t="s">
        <v>4</v>
      </c>
      <c r="E38" s="11" t="s">
        <v>10</v>
      </c>
      <c r="F38" s="11" t="s">
        <v>757</v>
      </c>
      <c r="G38" s="11" t="s">
        <v>758</v>
      </c>
      <c r="H38" s="11" t="s">
        <v>490</v>
      </c>
      <c r="I38" s="11" t="s">
        <v>759</v>
      </c>
      <c r="J38" s="11" t="s">
        <v>200</v>
      </c>
      <c r="K38" s="11" t="s">
        <v>89</v>
      </c>
    </row>
    <row r="39" spans="1:11" ht="36.6" customHeight="1" x14ac:dyDescent="0.3">
      <c r="A39" s="16">
        <v>38</v>
      </c>
      <c r="B39" s="11" t="s">
        <v>760</v>
      </c>
      <c r="C39" s="11" t="s">
        <v>249</v>
      </c>
      <c r="D39" s="13" t="s">
        <v>4</v>
      </c>
      <c r="E39" s="11" t="s">
        <v>9</v>
      </c>
      <c r="F39" s="11" t="s">
        <v>621</v>
      </c>
      <c r="G39" s="11" t="s">
        <v>761</v>
      </c>
      <c r="H39" s="11" t="s">
        <v>637</v>
      </c>
      <c r="I39" s="11" t="s">
        <v>762</v>
      </c>
      <c r="J39" s="11" t="s">
        <v>52</v>
      </c>
      <c r="K39" s="11" t="s">
        <v>53</v>
      </c>
    </row>
    <row r="40" spans="1:11" ht="36.6" customHeight="1" x14ac:dyDescent="0.3">
      <c r="A40" s="16">
        <v>39</v>
      </c>
      <c r="B40" s="11" t="s">
        <v>763</v>
      </c>
      <c r="C40" s="11" t="s">
        <v>249</v>
      </c>
      <c r="D40" s="14" t="s">
        <v>3</v>
      </c>
      <c r="E40" s="11" t="s">
        <v>9</v>
      </c>
      <c r="F40" s="11" t="s">
        <v>764</v>
      </c>
      <c r="G40" s="11" t="s">
        <v>765</v>
      </c>
      <c r="H40" s="11" t="s">
        <v>629</v>
      </c>
      <c r="I40" s="11" t="s">
        <v>766</v>
      </c>
      <c r="J40" s="11" t="s">
        <v>52</v>
      </c>
      <c r="K40" s="11" t="s">
        <v>256</v>
      </c>
    </row>
    <row r="41" spans="1:11" ht="36.6" customHeight="1" x14ac:dyDescent="0.3">
      <c r="A41" s="16">
        <v>40</v>
      </c>
      <c r="B41" s="11" t="s">
        <v>767</v>
      </c>
      <c r="C41" s="11" t="s">
        <v>249</v>
      </c>
      <c r="D41" s="13" t="s">
        <v>4</v>
      </c>
      <c r="E41" s="11" t="s">
        <v>9</v>
      </c>
      <c r="F41" s="11" t="s">
        <v>617</v>
      </c>
      <c r="G41" s="11" t="s">
        <v>768</v>
      </c>
      <c r="H41" s="11" t="s">
        <v>617</v>
      </c>
      <c r="I41" s="11" t="s">
        <v>769</v>
      </c>
      <c r="J41" s="11" t="s">
        <v>52</v>
      </c>
      <c r="K41" s="11" t="s">
        <v>89</v>
      </c>
    </row>
    <row r="42" spans="1:11" ht="36.6" customHeight="1" x14ac:dyDescent="0.3">
      <c r="A42" s="16">
        <v>41</v>
      </c>
      <c r="B42" s="11" t="s">
        <v>770</v>
      </c>
      <c r="C42" s="11" t="s">
        <v>249</v>
      </c>
      <c r="D42" s="13" t="s">
        <v>4</v>
      </c>
      <c r="E42" s="11" t="s">
        <v>127</v>
      </c>
      <c r="F42" s="11" t="s">
        <v>771</v>
      </c>
      <c r="G42" s="11" t="s">
        <v>772</v>
      </c>
      <c r="H42" s="11" t="s">
        <v>773</v>
      </c>
      <c r="I42" s="11" t="s">
        <v>774</v>
      </c>
      <c r="J42" s="11" t="s">
        <v>132</v>
      </c>
      <c r="K42" s="11" t="s">
        <v>89</v>
      </c>
    </row>
    <row r="43" spans="1:11" ht="36.6" customHeight="1" x14ac:dyDescent="0.3">
      <c r="A43" s="16">
        <v>42</v>
      </c>
      <c r="B43" s="11" t="s">
        <v>775</v>
      </c>
      <c r="C43" s="11" t="s">
        <v>263</v>
      </c>
      <c r="D43" s="13" t="s">
        <v>4</v>
      </c>
      <c r="E43" s="11" t="s">
        <v>127</v>
      </c>
      <c r="F43" s="11" t="s">
        <v>776</v>
      </c>
      <c r="G43" s="11" t="s">
        <v>777</v>
      </c>
      <c r="H43" s="11" t="s">
        <v>778</v>
      </c>
      <c r="I43" s="11" t="s">
        <v>779</v>
      </c>
      <c r="J43" s="11" t="s">
        <v>83</v>
      </c>
      <c r="K43" s="11" t="s">
        <v>89</v>
      </c>
    </row>
    <row r="44" spans="1:11" ht="36.6" customHeight="1" x14ac:dyDescent="0.3">
      <c r="A44" s="16">
        <v>43</v>
      </c>
      <c r="B44" s="11" t="s">
        <v>780</v>
      </c>
      <c r="C44" s="11" t="s">
        <v>263</v>
      </c>
      <c r="D44" s="15" t="s">
        <v>5</v>
      </c>
      <c r="E44" s="11" t="s">
        <v>9</v>
      </c>
      <c r="F44" s="11" t="s">
        <v>781</v>
      </c>
      <c r="G44" s="11" t="s">
        <v>782</v>
      </c>
      <c r="H44" s="11" t="s">
        <v>783</v>
      </c>
      <c r="I44" s="11" t="s">
        <v>784</v>
      </c>
      <c r="J44" s="11" t="s">
        <v>132</v>
      </c>
      <c r="K44" s="11" t="s">
        <v>46</v>
      </c>
    </row>
    <row r="45" spans="1:11" ht="36.6" customHeight="1" x14ac:dyDescent="0.3">
      <c r="A45" s="16">
        <v>44</v>
      </c>
      <c r="B45" s="11" t="s">
        <v>785</v>
      </c>
      <c r="C45" s="11" t="s">
        <v>158</v>
      </c>
      <c r="D45" s="13" t="s">
        <v>4</v>
      </c>
      <c r="E45" s="11" t="s">
        <v>217</v>
      </c>
      <c r="F45" s="11" t="s">
        <v>786</v>
      </c>
      <c r="G45" s="11" t="s">
        <v>787</v>
      </c>
      <c r="H45" s="11" t="s">
        <v>637</v>
      </c>
      <c r="I45" s="11" t="s">
        <v>788</v>
      </c>
      <c r="J45" s="11" t="s">
        <v>83</v>
      </c>
      <c r="K45" s="11" t="s">
        <v>46</v>
      </c>
    </row>
    <row r="46" spans="1:11" ht="36.6" customHeight="1" x14ac:dyDescent="0.3">
      <c r="A46" s="16">
        <v>45</v>
      </c>
      <c r="B46" s="11" t="s">
        <v>789</v>
      </c>
      <c r="C46" s="11" t="s">
        <v>158</v>
      </c>
      <c r="D46" s="13" t="s">
        <v>4</v>
      </c>
      <c r="E46" s="11" t="s">
        <v>10</v>
      </c>
      <c r="F46" s="11" t="s">
        <v>275</v>
      </c>
      <c r="G46" s="11" t="s">
        <v>790</v>
      </c>
      <c r="H46" s="11" t="s">
        <v>275</v>
      </c>
      <c r="I46" s="11" t="s">
        <v>791</v>
      </c>
      <c r="J46" s="11" t="s">
        <v>132</v>
      </c>
      <c r="K46" s="11" t="s">
        <v>46</v>
      </c>
    </row>
    <row r="47" spans="1:11" ht="36.6" customHeight="1" x14ac:dyDescent="0.3">
      <c r="A47" s="16">
        <v>46</v>
      </c>
      <c r="B47" s="11" t="s">
        <v>280</v>
      </c>
      <c r="C47" s="11" t="s">
        <v>281</v>
      </c>
      <c r="D47" s="14" t="s">
        <v>3</v>
      </c>
      <c r="E47" s="11" t="s">
        <v>11</v>
      </c>
      <c r="F47" s="11" t="s">
        <v>792</v>
      </c>
      <c r="G47" s="11" t="s">
        <v>793</v>
      </c>
      <c r="H47" s="11" t="s">
        <v>284</v>
      </c>
      <c r="I47" s="11" t="s">
        <v>794</v>
      </c>
      <c r="J47" s="11" t="s">
        <v>286</v>
      </c>
      <c r="K47" s="11" t="s">
        <v>73</v>
      </c>
    </row>
    <row r="48" spans="1:11" ht="36.6" customHeight="1" x14ac:dyDescent="0.3">
      <c r="A48" s="16">
        <v>47</v>
      </c>
      <c r="B48" s="11" t="s">
        <v>287</v>
      </c>
      <c r="C48" s="11" t="s">
        <v>281</v>
      </c>
      <c r="D48" s="14" t="s">
        <v>3</v>
      </c>
      <c r="E48" s="11" t="s">
        <v>11</v>
      </c>
      <c r="F48" s="11" t="s">
        <v>716</v>
      </c>
      <c r="G48" s="11" t="s">
        <v>795</v>
      </c>
      <c r="H48" s="11" t="s">
        <v>177</v>
      </c>
      <c r="I48" s="11" t="s">
        <v>796</v>
      </c>
      <c r="J48" s="11" t="s">
        <v>83</v>
      </c>
      <c r="K48" s="11" t="s">
        <v>53</v>
      </c>
    </row>
    <row r="49" spans="1:11" ht="36.6" customHeight="1" x14ac:dyDescent="0.3">
      <c r="A49" s="16">
        <v>48</v>
      </c>
      <c r="B49" s="11" t="s">
        <v>291</v>
      </c>
      <c r="C49" s="11" t="s">
        <v>292</v>
      </c>
      <c r="D49" s="14" t="s">
        <v>3</v>
      </c>
      <c r="E49" s="11" t="s">
        <v>293</v>
      </c>
      <c r="F49" s="11" t="s">
        <v>797</v>
      </c>
      <c r="G49" s="11" t="s">
        <v>295</v>
      </c>
      <c r="H49" s="11" t="s">
        <v>296</v>
      </c>
      <c r="I49" s="11" t="s">
        <v>798</v>
      </c>
      <c r="J49" s="11" t="s">
        <v>298</v>
      </c>
      <c r="K49" s="11" t="s">
        <v>299</v>
      </c>
    </row>
    <row r="50" spans="1:11" ht="36.6" customHeight="1" x14ac:dyDescent="0.3">
      <c r="A50" s="16">
        <v>49</v>
      </c>
      <c r="B50" s="11" t="s">
        <v>799</v>
      </c>
      <c r="C50" s="11" t="s">
        <v>281</v>
      </c>
      <c r="D50" s="14" t="s">
        <v>3</v>
      </c>
      <c r="E50" s="11" t="s">
        <v>11</v>
      </c>
      <c r="F50" s="11" t="s">
        <v>800</v>
      </c>
      <c r="G50" s="11" t="s">
        <v>801</v>
      </c>
      <c r="H50" s="11" t="s">
        <v>800</v>
      </c>
      <c r="I50" s="11" t="s">
        <v>802</v>
      </c>
      <c r="J50" s="11" t="s">
        <v>83</v>
      </c>
      <c r="K50" s="11" t="s">
        <v>100</v>
      </c>
    </row>
    <row r="51" spans="1:11" ht="36.6" customHeight="1" x14ac:dyDescent="0.3">
      <c r="A51" s="16">
        <v>50</v>
      </c>
      <c r="B51" s="11" t="s">
        <v>803</v>
      </c>
      <c r="C51" s="11" t="s">
        <v>281</v>
      </c>
      <c r="D51" s="15" t="s">
        <v>5</v>
      </c>
      <c r="E51" s="11" t="s">
        <v>11</v>
      </c>
      <c r="F51" s="11" t="s">
        <v>804</v>
      </c>
      <c r="G51" s="11" t="s">
        <v>805</v>
      </c>
      <c r="H51" s="11" t="s">
        <v>806</v>
      </c>
      <c r="I51" s="11" t="s">
        <v>807</v>
      </c>
      <c r="J51" s="11" t="s">
        <v>79</v>
      </c>
      <c r="K51" s="11" t="s">
        <v>46</v>
      </c>
    </row>
    <row r="52" spans="1:11" ht="36.6" customHeight="1" x14ac:dyDescent="0.3">
      <c r="A52" s="16">
        <v>51</v>
      </c>
      <c r="B52" s="11" t="s">
        <v>808</v>
      </c>
      <c r="C52" s="11" t="s">
        <v>329</v>
      </c>
      <c r="D52" s="13" t="s">
        <v>4</v>
      </c>
      <c r="E52" s="11" t="s">
        <v>9</v>
      </c>
      <c r="F52" s="11" t="s">
        <v>809</v>
      </c>
      <c r="G52" s="11" t="s">
        <v>810</v>
      </c>
      <c r="H52" s="11" t="s">
        <v>668</v>
      </c>
      <c r="I52" s="11" t="s">
        <v>811</v>
      </c>
      <c r="J52" s="11" t="s">
        <v>99</v>
      </c>
      <c r="K52" s="11" t="s">
        <v>89</v>
      </c>
    </row>
    <row r="53" spans="1:11" ht="36.6" customHeight="1" x14ac:dyDescent="0.3">
      <c r="A53" s="16">
        <v>52</v>
      </c>
      <c r="B53" s="11" t="s">
        <v>812</v>
      </c>
      <c r="C53" s="11" t="s">
        <v>329</v>
      </c>
      <c r="D53" s="14" t="s">
        <v>3</v>
      </c>
      <c r="E53" s="11" t="s">
        <v>12</v>
      </c>
      <c r="F53" s="11" t="s">
        <v>813</v>
      </c>
      <c r="G53" s="11" t="s">
        <v>382</v>
      </c>
      <c r="H53" s="11" t="s">
        <v>814</v>
      </c>
      <c r="I53" s="11" t="s">
        <v>815</v>
      </c>
      <c r="J53" s="11" t="s">
        <v>99</v>
      </c>
      <c r="K53" s="11" t="s">
        <v>53</v>
      </c>
    </row>
    <row r="54" spans="1:11" ht="36.6" customHeight="1" x14ac:dyDescent="0.3">
      <c r="A54" s="16">
        <v>53</v>
      </c>
      <c r="B54" s="11" t="s">
        <v>816</v>
      </c>
      <c r="C54" s="11" t="s">
        <v>329</v>
      </c>
      <c r="D54" s="13" t="s">
        <v>4</v>
      </c>
      <c r="E54" s="11" t="s">
        <v>127</v>
      </c>
      <c r="F54" s="11" t="s">
        <v>817</v>
      </c>
      <c r="G54" s="11" t="s">
        <v>818</v>
      </c>
      <c r="H54" s="11" t="s">
        <v>819</v>
      </c>
      <c r="I54" s="11" t="s">
        <v>820</v>
      </c>
      <c r="J54" s="11" t="s">
        <v>99</v>
      </c>
      <c r="K54" s="11" t="s">
        <v>89</v>
      </c>
    </row>
    <row r="55" spans="1:11" ht="36.6" customHeight="1" x14ac:dyDescent="0.3">
      <c r="A55" s="16">
        <v>54</v>
      </c>
      <c r="B55" s="11" t="s">
        <v>821</v>
      </c>
      <c r="C55" s="11" t="s">
        <v>329</v>
      </c>
      <c r="D55" s="13" t="s">
        <v>4</v>
      </c>
      <c r="E55" s="11" t="s">
        <v>10</v>
      </c>
      <c r="F55" s="11" t="s">
        <v>705</v>
      </c>
      <c r="G55" s="11" t="s">
        <v>822</v>
      </c>
      <c r="H55" s="11" t="s">
        <v>705</v>
      </c>
      <c r="I55" s="11" t="s">
        <v>823</v>
      </c>
      <c r="J55" s="11" t="s">
        <v>99</v>
      </c>
      <c r="K55" s="11" t="s">
        <v>89</v>
      </c>
    </row>
    <row r="56" spans="1:11" ht="36.6" customHeight="1" x14ac:dyDescent="0.3">
      <c r="A56" s="16">
        <v>55</v>
      </c>
      <c r="B56" s="11" t="s">
        <v>824</v>
      </c>
      <c r="C56" s="11" t="s">
        <v>358</v>
      </c>
      <c r="D56" s="14" t="s">
        <v>3</v>
      </c>
      <c r="E56" s="11" t="s">
        <v>9</v>
      </c>
      <c r="F56" s="11" t="s">
        <v>637</v>
      </c>
      <c r="G56" s="11" t="s">
        <v>825</v>
      </c>
      <c r="H56" s="11" t="s">
        <v>637</v>
      </c>
      <c r="I56" s="11" t="s">
        <v>826</v>
      </c>
      <c r="J56" s="11" t="s">
        <v>99</v>
      </c>
      <c r="K56" s="11" t="s">
        <v>362</v>
      </c>
    </row>
    <row r="57" spans="1:11" ht="36.6" customHeight="1" x14ac:dyDescent="0.3">
      <c r="A57" s="16">
        <v>56</v>
      </c>
      <c r="B57" s="11" t="s">
        <v>827</v>
      </c>
      <c r="C57" s="11" t="s">
        <v>358</v>
      </c>
      <c r="D57" s="13" t="s">
        <v>4</v>
      </c>
      <c r="E57" s="11" t="s">
        <v>127</v>
      </c>
      <c r="F57" s="11" t="s">
        <v>828</v>
      </c>
      <c r="G57" s="11" t="s">
        <v>829</v>
      </c>
      <c r="H57" s="11" t="s">
        <v>830</v>
      </c>
      <c r="I57" s="11" t="s">
        <v>831</v>
      </c>
      <c r="J57" s="11" t="s">
        <v>99</v>
      </c>
      <c r="K57" s="11" t="s">
        <v>89</v>
      </c>
    </row>
    <row r="58" spans="1:11" ht="36.6" customHeight="1" x14ac:dyDescent="0.3">
      <c r="A58" s="16">
        <v>57</v>
      </c>
      <c r="B58" s="11" t="s">
        <v>832</v>
      </c>
      <c r="C58" s="11" t="s">
        <v>358</v>
      </c>
      <c r="D58" s="14" t="s">
        <v>3</v>
      </c>
      <c r="E58" s="11" t="s">
        <v>10</v>
      </c>
      <c r="F58" s="11" t="s">
        <v>833</v>
      </c>
      <c r="G58" s="11" t="s">
        <v>834</v>
      </c>
      <c r="H58" s="11" t="s">
        <v>835</v>
      </c>
      <c r="I58" s="11" t="s">
        <v>836</v>
      </c>
      <c r="J58" s="11" t="s">
        <v>286</v>
      </c>
      <c r="K58" s="11" t="s">
        <v>100</v>
      </c>
    </row>
    <row r="59" spans="1:11" ht="36.6" customHeight="1" x14ac:dyDescent="0.3">
      <c r="A59" s="16">
        <v>58</v>
      </c>
      <c r="B59" s="11" t="s">
        <v>837</v>
      </c>
      <c r="C59" s="11" t="s">
        <v>358</v>
      </c>
      <c r="D59" s="14" t="s">
        <v>3</v>
      </c>
      <c r="E59" s="11" t="s">
        <v>12</v>
      </c>
      <c r="F59" s="11" t="s">
        <v>838</v>
      </c>
      <c r="G59" s="11" t="s">
        <v>839</v>
      </c>
      <c r="H59" s="11" t="s">
        <v>840</v>
      </c>
      <c r="I59" s="11" t="s">
        <v>841</v>
      </c>
      <c r="J59" s="11" t="s">
        <v>83</v>
      </c>
      <c r="K59" s="11" t="s">
        <v>327</v>
      </c>
    </row>
    <row r="60" spans="1:11" ht="36.6" customHeight="1" x14ac:dyDescent="0.3">
      <c r="A60" s="16">
        <v>59</v>
      </c>
      <c r="B60" s="11" t="s">
        <v>842</v>
      </c>
      <c r="C60" s="11" t="s">
        <v>309</v>
      </c>
      <c r="D60" s="15" t="s">
        <v>5</v>
      </c>
      <c r="E60" s="11" t="s">
        <v>9</v>
      </c>
      <c r="F60" s="11" t="s">
        <v>843</v>
      </c>
      <c r="G60" s="11" t="s">
        <v>844</v>
      </c>
      <c r="H60" s="11" t="s">
        <v>312</v>
      </c>
      <c r="I60" s="11" t="s">
        <v>845</v>
      </c>
      <c r="J60" s="11" t="s">
        <v>314</v>
      </c>
      <c r="K60" s="11" t="s">
        <v>315</v>
      </c>
    </row>
    <row r="61" spans="1:11" ht="36.6" customHeight="1" x14ac:dyDescent="0.3">
      <c r="A61" s="16">
        <v>60</v>
      </c>
      <c r="B61" s="11" t="s">
        <v>846</v>
      </c>
      <c r="C61" s="11" t="s">
        <v>847</v>
      </c>
      <c r="D61" s="13" t="s">
        <v>4</v>
      </c>
      <c r="E61" s="11" t="s">
        <v>9</v>
      </c>
      <c r="F61" s="11" t="s">
        <v>848</v>
      </c>
      <c r="G61" s="11" t="s">
        <v>849</v>
      </c>
      <c r="H61" s="11" t="s">
        <v>850</v>
      </c>
      <c r="I61" s="11" t="s">
        <v>851</v>
      </c>
      <c r="J61" s="11" t="s">
        <v>37</v>
      </c>
      <c r="K61" s="11" t="s">
        <v>53</v>
      </c>
    </row>
    <row r="62" spans="1:11" ht="36.6" customHeight="1" x14ac:dyDescent="0.3">
      <c r="A62" s="16">
        <v>61</v>
      </c>
      <c r="B62" s="11" t="s">
        <v>852</v>
      </c>
      <c r="C62" s="11" t="s">
        <v>55</v>
      </c>
      <c r="D62" s="15" t="s">
        <v>5</v>
      </c>
      <c r="E62" s="11" t="s">
        <v>9</v>
      </c>
      <c r="F62" s="11" t="s">
        <v>637</v>
      </c>
      <c r="G62" s="11" t="s">
        <v>853</v>
      </c>
      <c r="H62" s="11" t="s">
        <v>637</v>
      </c>
      <c r="I62" s="11" t="s">
        <v>854</v>
      </c>
      <c r="J62" s="11" t="s">
        <v>99</v>
      </c>
      <c r="K62" s="11" t="s">
        <v>60</v>
      </c>
    </row>
    <row r="63" spans="1:11" ht="36.6" customHeight="1" x14ac:dyDescent="0.3">
      <c r="A63" s="16">
        <v>62</v>
      </c>
      <c r="B63" s="11" t="s">
        <v>855</v>
      </c>
      <c r="C63" s="11" t="s">
        <v>642</v>
      </c>
      <c r="D63" s="13" t="s">
        <v>4</v>
      </c>
      <c r="E63" s="11" t="s">
        <v>9</v>
      </c>
      <c r="F63" s="11" t="s">
        <v>856</v>
      </c>
      <c r="G63" s="11" t="s">
        <v>857</v>
      </c>
      <c r="H63" s="11" t="s">
        <v>856</v>
      </c>
      <c r="I63" s="11" t="s">
        <v>858</v>
      </c>
      <c r="J63" s="11" t="s">
        <v>200</v>
      </c>
      <c r="K63" s="11" t="s">
        <v>89</v>
      </c>
    </row>
    <row r="64" spans="1:11" ht="36.6" customHeight="1" x14ac:dyDescent="0.3">
      <c r="A64" s="16">
        <v>63</v>
      </c>
      <c r="B64" s="11" t="s">
        <v>859</v>
      </c>
      <c r="C64" s="11" t="s">
        <v>395</v>
      </c>
      <c r="D64" s="13" t="s">
        <v>4</v>
      </c>
      <c r="E64" s="11" t="s">
        <v>10</v>
      </c>
      <c r="F64" s="11" t="s">
        <v>757</v>
      </c>
      <c r="G64" s="11" t="s">
        <v>397</v>
      </c>
      <c r="H64" s="11" t="s">
        <v>860</v>
      </c>
      <c r="I64" s="11" t="s">
        <v>861</v>
      </c>
      <c r="J64" s="11" t="s">
        <v>200</v>
      </c>
      <c r="K64" s="11" t="s">
        <v>89</v>
      </c>
    </row>
    <row r="65" spans="1:11" ht="36.6" customHeight="1" x14ac:dyDescent="0.3">
      <c r="A65" s="16">
        <v>64</v>
      </c>
      <c r="B65" s="11" t="s">
        <v>862</v>
      </c>
      <c r="C65" s="11" t="s">
        <v>12</v>
      </c>
      <c r="D65" s="13" t="s">
        <v>4</v>
      </c>
      <c r="E65" s="11" t="s">
        <v>12</v>
      </c>
      <c r="F65" s="11" t="s">
        <v>712</v>
      </c>
      <c r="G65" s="11" t="s">
        <v>863</v>
      </c>
      <c r="H65" s="11" t="s">
        <v>712</v>
      </c>
      <c r="I65" s="11" t="s">
        <v>864</v>
      </c>
      <c r="J65" s="11" t="s">
        <v>45</v>
      </c>
      <c r="K65" s="11" t="s">
        <v>89</v>
      </c>
    </row>
    <row r="66" spans="1:11" ht="36.6" customHeight="1" x14ac:dyDescent="0.3">
      <c r="A66" s="16">
        <v>65</v>
      </c>
      <c r="B66" s="11" t="s">
        <v>865</v>
      </c>
      <c r="C66" s="11" t="s">
        <v>413</v>
      </c>
      <c r="D66" s="14" t="s">
        <v>3</v>
      </c>
      <c r="E66" s="11" t="s">
        <v>12</v>
      </c>
      <c r="F66" s="11" t="s">
        <v>866</v>
      </c>
      <c r="G66" s="11" t="s">
        <v>867</v>
      </c>
      <c r="H66" s="11" t="s">
        <v>868</v>
      </c>
      <c r="I66" s="11" t="s">
        <v>869</v>
      </c>
      <c r="J66" s="11" t="s">
        <v>37</v>
      </c>
      <c r="K66" s="11" t="s">
        <v>100</v>
      </c>
    </row>
    <row r="67" spans="1:11" ht="36.6" customHeight="1" x14ac:dyDescent="0.3">
      <c r="A67" s="16">
        <v>66</v>
      </c>
      <c r="B67" s="11" t="s">
        <v>405</v>
      </c>
      <c r="C67" s="11" t="s">
        <v>406</v>
      </c>
      <c r="D67" s="13" t="s">
        <v>4</v>
      </c>
      <c r="E67" s="11" t="s">
        <v>12</v>
      </c>
      <c r="F67" s="11" t="s">
        <v>409</v>
      </c>
      <c r="G67" s="11" t="s">
        <v>408</v>
      </c>
      <c r="H67" s="11" t="s">
        <v>870</v>
      </c>
      <c r="I67" s="11" t="s">
        <v>871</v>
      </c>
      <c r="J67" s="11" t="s">
        <v>83</v>
      </c>
      <c r="K67" s="11" t="s">
        <v>411</v>
      </c>
    </row>
    <row r="68" spans="1:11" ht="36.6" customHeight="1" x14ac:dyDescent="0.3">
      <c r="A68" s="16">
        <v>67</v>
      </c>
      <c r="B68" s="11" t="s">
        <v>872</v>
      </c>
      <c r="C68" s="11" t="s">
        <v>873</v>
      </c>
      <c r="D68" s="13" t="s">
        <v>4</v>
      </c>
      <c r="E68" s="11" t="s">
        <v>9</v>
      </c>
      <c r="F68" s="11" t="s">
        <v>874</v>
      </c>
      <c r="G68" s="11" t="s">
        <v>875</v>
      </c>
      <c r="H68" s="11" t="s">
        <v>876</v>
      </c>
      <c r="I68" s="11" t="s">
        <v>877</v>
      </c>
      <c r="J68" s="11" t="s">
        <v>45</v>
      </c>
      <c r="K68" s="11" t="s">
        <v>46</v>
      </c>
    </row>
    <row r="69" spans="1:11" ht="36.6" customHeight="1" x14ac:dyDescent="0.3">
      <c r="A69" s="16">
        <v>68</v>
      </c>
      <c r="B69" s="11" t="s">
        <v>878</v>
      </c>
      <c r="C69" s="11" t="s">
        <v>879</v>
      </c>
      <c r="D69" s="15" t="s">
        <v>5</v>
      </c>
      <c r="E69" s="11" t="s">
        <v>9</v>
      </c>
      <c r="F69" s="11" t="s">
        <v>880</v>
      </c>
      <c r="G69" s="11" t="s">
        <v>881</v>
      </c>
      <c r="H69" s="11" t="s">
        <v>882</v>
      </c>
      <c r="I69" s="11" t="s">
        <v>883</v>
      </c>
      <c r="J69" s="11" t="s">
        <v>45</v>
      </c>
      <c r="K69" s="11" t="s">
        <v>60</v>
      </c>
    </row>
    <row r="70" spans="1:11" ht="36.6" customHeight="1" x14ac:dyDescent="0.3">
      <c r="A70" s="16">
        <v>69</v>
      </c>
      <c r="B70" s="11" t="s">
        <v>884</v>
      </c>
      <c r="C70" s="11" t="s">
        <v>885</v>
      </c>
      <c r="D70" s="13" t="s">
        <v>4</v>
      </c>
      <c r="E70" s="11" t="s">
        <v>10</v>
      </c>
      <c r="F70" s="11" t="s">
        <v>712</v>
      </c>
      <c r="G70" s="11" t="s">
        <v>886</v>
      </c>
      <c r="H70" s="11" t="s">
        <v>712</v>
      </c>
      <c r="I70" s="11" t="s">
        <v>887</v>
      </c>
      <c r="J70" s="11" t="s">
        <v>45</v>
      </c>
      <c r="K70" s="11" t="s">
        <v>46</v>
      </c>
    </row>
    <row r="71" spans="1:11" ht="36.6" customHeight="1" x14ac:dyDescent="0.3">
      <c r="A71" s="16">
        <v>70</v>
      </c>
      <c r="B71" s="11" t="s">
        <v>429</v>
      </c>
      <c r="C71" s="11" t="s">
        <v>430</v>
      </c>
      <c r="D71" s="14" t="s">
        <v>3</v>
      </c>
      <c r="E71" s="11" t="s">
        <v>10</v>
      </c>
      <c r="F71" s="11" t="s">
        <v>752</v>
      </c>
      <c r="G71" s="11" t="s">
        <v>888</v>
      </c>
      <c r="H71" s="11" t="s">
        <v>752</v>
      </c>
      <c r="I71" s="11" t="s">
        <v>889</v>
      </c>
      <c r="J71" s="11" t="s">
        <v>132</v>
      </c>
      <c r="K71" s="11" t="s">
        <v>53</v>
      </c>
    </row>
    <row r="72" spans="1:11" ht="36.6" customHeight="1" x14ac:dyDescent="0.3">
      <c r="A72" s="16">
        <v>71</v>
      </c>
      <c r="B72" s="11" t="s">
        <v>890</v>
      </c>
      <c r="C72" s="11" t="s">
        <v>430</v>
      </c>
      <c r="D72" s="15" t="s">
        <v>5</v>
      </c>
      <c r="E72" s="11" t="s">
        <v>10</v>
      </c>
      <c r="F72" s="11" t="s">
        <v>891</v>
      </c>
      <c r="G72" s="11" t="s">
        <v>892</v>
      </c>
      <c r="H72" s="11" t="s">
        <v>891</v>
      </c>
      <c r="I72" s="11" t="s">
        <v>893</v>
      </c>
      <c r="J72" s="11" t="s">
        <v>132</v>
      </c>
      <c r="K72" s="11" t="s">
        <v>46</v>
      </c>
    </row>
    <row r="73" spans="1:11" ht="36.6" customHeight="1" x14ac:dyDescent="0.3">
      <c r="A73" s="16">
        <v>72</v>
      </c>
      <c r="B73" s="11" t="s">
        <v>446</v>
      </c>
      <c r="C73" s="11" t="s">
        <v>11</v>
      </c>
      <c r="D73" s="15" t="s">
        <v>5</v>
      </c>
      <c r="E73" s="11" t="s">
        <v>11</v>
      </c>
      <c r="F73" s="11" t="s">
        <v>894</v>
      </c>
      <c r="G73" s="11" t="s">
        <v>448</v>
      </c>
      <c r="H73" s="11" t="s">
        <v>232</v>
      </c>
      <c r="I73" s="11" t="s">
        <v>895</v>
      </c>
      <c r="J73" s="11" t="s">
        <v>123</v>
      </c>
      <c r="K73" s="11" t="s">
        <v>46</v>
      </c>
    </row>
    <row r="74" spans="1:11" ht="36.6" customHeight="1" x14ac:dyDescent="0.3">
      <c r="A74" s="16">
        <v>73</v>
      </c>
      <c r="B74" s="11" t="s">
        <v>896</v>
      </c>
      <c r="C74" s="11" t="s">
        <v>11</v>
      </c>
      <c r="D74" s="15" t="s">
        <v>5</v>
      </c>
      <c r="E74" s="11" t="s">
        <v>10</v>
      </c>
      <c r="F74" s="11" t="s">
        <v>897</v>
      </c>
      <c r="G74" s="11" t="s">
        <v>898</v>
      </c>
      <c r="H74" s="11" t="s">
        <v>899</v>
      </c>
      <c r="I74" s="11" t="s">
        <v>900</v>
      </c>
      <c r="J74" s="11" t="s">
        <v>123</v>
      </c>
      <c r="K74" s="11" t="s">
        <v>46</v>
      </c>
    </row>
    <row r="75" spans="1:11" ht="36.6" customHeight="1" x14ac:dyDescent="0.3">
      <c r="A75" s="16">
        <v>74</v>
      </c>
      <c r="B75" s="11" t="s">
        <v>901</v>
      </c>
      <c r="C75" s="11" t="s">
        <v>386</v>
      </c>
      <c r="D75" s="15" t="s">
        <v>5</v>
      </c>
      <c r="E75" s="11" t="s">
        <v>10</v>
      </c>
      <c r="F75" s="11" t="s">
        <v>902</v>
      </c>
      <c r="G75" s="11" t="s">
        <v>903</v>
      </c>
      <c r="H75" s="11" t="s">
        <v>904</v>
      </c>
      <c r="I75" s="11" t="s">
        <v>905</v>
      </c>
      <c r="J75" s="11" t="s">
        <v>132</v>
      </c>
      <c r="K75" s="11" t="s">
        <v>60</v>
      </c>
    </row>
    <row r="76" spans="1:11" ht="36.6" customHeight="1" x14ac:dyDescent="0.3">
      <c r="A76" s="16">
        <v>75</v>
      </c>
      <c r="B76" s="11" t="s">
        <v>906</v>
      </c>
      <c r="C76" s="11" t="s">
        <v>907</v>
      </c>
      <c r="D76" s="14" t="s">
        <v>3</v>
      </c>
      <c r="E76" s="11" t="s">
        <v>12</v>
      </c>
      <c r="F76" s="11" t="s">
        <v>705</v>
      </c>
      <c r="G76" s="11" t="s">
        <v>908</v>
      </c>
      <c r="H76" s="11" t="s">
        <v>705</v>
      </c>
      <c r="I76" s="11" t="s">
        <v>909</v>
      </c>
      <c r="J76" s="11" t="s">
        <v>67</v>
      </c>
      <c r="K76" s="11" t="s">
        <v>53</v>
      </c>
    </row>
    <row r="77" spans="1:11" ht="36.6" customHeight="1" x14ac:dyDescent="0.3">
      <c r="A77" s="16">
        <v>76</v>
      </c>
      <c r="B77" s="11" t="s">
        <v>910</v>
      </c>
      <c r="C77" s="11" t="s">
        <v>134</v>
      </c>
      <c r="D77" s="13" t="s">
        <v>4</v>
      </c>
      <c r="E77" s="11" t="s">
        <v>10</v>
      </c>
      <c r="F77" s="11" t="s">
        <v>679</v>
      </c>
      <c r="G77" s="11" t="s">
        <v>911</v>
      </c>
      <c r="H77" s="11" t="s">
        <v>912</v>
      </c>
      <c r="I77" s="11" t="s">
        <v>913</v>
      </c>
      <c r="J77" s="11" t="s">
        <v>132</v>
      </c>
      <c r="K77" s="11" t="s">
        <v>89</v>
      </c>
    </row>
    <row r="78" spans="1:11" ht="36.6" customHeight="1" x14ac:dyDescent="0.3">
      <c r="A78" s="16">
        <v>77</v>
      </c>
      <c r="B78" s="11" t="s">
        <v>914</v>
      </c>
      <c r="C78" s="11" t="s">
        <v>249</v>
      </c>
      <c r="D78" s="13" t="s">
        <v>4</v>
      </c>
      <c r="E78" s="11" t="s">
        <v>127</v>
      </c>
      <c r="F78" s="11" t="s">
        <v>828</v>
      </c>
      <c r="G78" s="11" t="s">
        <v>915</v>
      </c>
      <c r="H78" s="11" t="s">
        <v>783</v>
      </c>
      <c r="I78" s="11" t="s">
        <v>916</v>
      </c>
      <c r="J78" s="11" t="s">
        <v>52</v>
      </c>
      <c r="K78" s="11" t="s">
        <v>89</v>
      </c>
    </row>
    <row r="79" spans="1:11" ht="36.6" customHeight="1" x14ac:dyDescent="0.3">
      <c r="A79" s="16">
        <v>78</v>
      </c>
      <c r="B79" s="11" t="s">
        <v>917</v>
      </c>
      <c r="C79" s="11" t="s">
        <v>95</v>
      </c>
      <c r="D79" s="15" t="s">
        <v>5</v>
      </c>
      <c r="E79" s="11" t="s">
        <v>127</v>
      </c>
      <c r="F79" s="11" t="s">
        <v>918</v>
      </c>
      <c r="G79" s="11" t="s">
        <v>919</v>
      </c>
      <c r="H79" s="11" t="s">
        <v>920</v>
      </c>
      <c r="I79" s="11" t="s">
        <v>921</v>
      </c>
      <c r="J79" s="11" t="s">
        <v>99</v>
      </c>
      <c r="K79" s="11" t="s">
        <v>46</v>
      </c>
    </row>
    <row r="80" spans="1:11" ht="36.6" customHeight="1" x14ac:dyDescent="0.3">
      <c r="A80" s="16">
        <v>79</v>
      </c>
      <c r="B80" s="11" t="s">
        <v>922</v>
      </c>
      <c r="C80" s="11" t="s">
        <v>95</v>
      </c>
      <c r="D80" s="15" t="s">
        <v>5</v>
      </c>
      <c r="E80" s="11" t="s">
        <v>10</v>
      </c>
      <c r="F80" s="11" t="s">
        <v>275</v>
      </c>
      <c r="G80" s="11" t="s">
        <v>923</v>
      </c>
      <c r="H80" s="11" t="s">
        <v>582</v>
      </c>
      <c r="I80" s="11" t="s">
        <v>924</v>
      </c>
      <c r="J80" s="11" t="s">
        <v>132</v>
      </c>
      <c r="K80" s="11" t="s">
        <v>60</v>
      </c>
    </row>
    <row r="81" spans="1:11" ht="36.6" customHeight="1" x14ac:dyDescent="0.3">
      <c r="A81" s="16">
        <v>80</v>
      </c>
      <c r="B81" s="11" t="s">
        <v>925</v>
      </c>
      <c r="C81" s="11" t="s">
        <v>926</v>
      </c>
      <c r="D81" s="15" t="s">
        <v>5</v>
      </c>
      <c r="E81" s="11" t="s">
        <v>10</v>
      </c>
      <c r="F81" s="11" t="s">
        <v>275</v>
      </c>
      <c r="G81" s="11" t="s">
        <v>927</v>
      </c>
      <c r="H81" s="11" t="s">
        <v>582</v>
      </c>
      <c r="I81" s="11" t="s">
        <v>928</v>
      </c>
      <c r="J81" s="11" t="s">
        <v>132</v>
      </c>
      <c r="K81" s="11" t="s">
        <v>60</v>
      </c>
    </row>
    <row r="82" spans="1:11" ht="36.6" customHeight="1" x14ac:dyDescent="0.3">
      <c r="A82" s="16">
        <v>81</v>
      </c>
      <c r="B82" s="11" t="s">
        <v>929</v>
      </c>
      <c r="C82" s="11" t="s">
        <v>930</v>
      </c>
      <c r="D82" s="13" t="s">
        <v>4</v>
      </c>
      <c r="E82" s="11" t="s">
        <v>11</v>
      </c>
      <c r="F82" s="11" t="s">
        <v>931</v>
      </c>
      <c r="G82" s="11" t="s">
        <v>932</v>
      </c>
      <c r="H82" s="11" t="s">
        <v>933</v>
      </c>
      <c r="I82" s="11" t="s">
        <v>934</v>
      </c>
      <c r="J82" s="11" t="s">
        <v>123</v>
      </c>
      <c r="K82" s="11" t="s">
        <v>89</v>
      </c>
    </row>
    <row r="83" spans="1:11" ht="36.6" customHeight="1" x14ac:dyDescent="0.3">
      <c r="A83" s="16">
        <v>82</v>
      </c>
      <c r="B83" s="11" t="s">
        <v>935</v>
      </c>
      <c r="C83" s="11" t="s">
        <v>134</v>
      </c>
      <c r="D83" s="15" t="s">
        <v>5</v>
      </c>
      <c r="E83" s="11" t="s">
        <v>10</v>
      </c>
      <c r="F83" s="11" t="s">
        <v>275</v>
      </c>
      <c r="G83" s="11" t="s">
        <v>936</v>
      </c>
      <c r="H83" s="11" t="s">
        <v>937</v>
      </c>
      <c r="I83" s="11" t="s">
        <v>938</v>
      </c>
      <c r="J83" s="11" t="s">
        <v>132</v>
      </c>
      <c r="K83" s="11" t="s">
        <v>46</v>
      </c>
    </row>
    <row r="84" spans="1:11" ht="36.6" customHeight="1" x14ac:dyDescent="0.3">
      <c r="A84" s="16">
        <v>83</v>
      </c>
      <c r="B84" s="11" t="s">
        <v>939</v>
      </c>
      <c r="C84" s="11" t="s">
        <v>940</v>
      </c>
      <c r="D84" s="13" t="s">
        <v>4</v>
      </c>
      <c r="E84" s="11" t="s">
        <v>127</v>
      </c>
      <c r="F84" s="11" t="s">
        <v>830</v>
      </c>
      <c r="G84" s="11" t="s">
        <v>941</v>
      </c>
      <c r="H84" s="11" t="s">
        <v>942</v>
      </c>
      <c r="I84" s="11" t="s">
        <v>943</v>
      </c>
      <c r="J84" s="11" t="s">
        <v>200</v>
      </c>
      <c r="K84" s="11" t="s">
        <v>89</v>
      </c>
    </row>
    <row r="85" spans="1:11" ht="36.6" customHeight="1" x14ac:dyDescent="0.3">
      <c r="A85" s="16">
        <v>84</v>
      </c>
      <c r="B85" s="11" t="s">
        <v>944</v>
      </c>
      <c r="C85" s="11" t="s">
        <v>945</v>
      </c>
      <c r="D85" s="14" t="s">
        <v>3</v>
      </c>
      <c r="E85" s="11" t="s">
        <v>12</v>
      </c>
      <c r="F85" s="11" t="s">
        <v>946</v>
      </c>
      <c r="G85" s="11" t="s">
        <v>947</v>
      </c>
      <c r="H85" s="11" t="s">
        <v>899</v>
      </c>
      <c r="I85" s="11" t="s">
        <v>948</v>
      </c>
      <c r="J85" s="11" t="s">
        <v>298</v>
      </c>
      <c r="K85" s="11" t="s">
        <v>299</v>
      </c>
    </row>
    <row r="86" spans="1:11" ht="36.6" customHeight="1" x14ac:dyDescent="0.3">
      <c r="A86" s="16">
        <v>85</v>
      </c>
      <c r="B86" s="11" t="s">
        <v>949</v>
      </c>
      <c r="C86" s="11" t="s">
        <v>329</v>
      </c>
      <c r="D86" s="13" t="s">
        <v>4</v>
      </c>
      <c r="E86" s="11" t="s">
        <v>12</v>
      </c>
      <c r="F86" s="11" t="s">
        <v>950</v>
      </c>
      <c r="G86" s="11" t="s">
        <v>951</v>
      </c>
      <c r="H86" s="11" t="s">
        <v>814</v>
      </c>
      <c r="I86" s="11" t="s">
        <v>952</v>
      </c>
      <c r="J86" s="11" t="s">
        <v>286</v>
      </c>
      <c r="K86" s="11" t="s">
        <v>53</v>
      </c>
    </row>
    <row r="87" spans="1:11" ht="36.6" customHeight="1" x14ac:dyDescent="0.3">
      <c r="A87" s="16">
        <v>86</v>
      </c>
      <c r="B87" s="11" t="s">
        <v>953</v>
      </c>
      <c r="C87" s="11" t="s">
        <v>134</v>
      </c>
      <c r="D87" s="13" t="s">
        <v>4</v>
      </c>
      <c r="E87" s="11" t="s">
        <v>127</v>
      </c>
      <c r="F87" s="11" t="s">
        <v>954</v>
      </c>
      <c r="G87" s="11" t="s">
        <v>955</v>
      </c>
      <c r="H87" s="11" t="s">
        <v>956</v>
      </c>
      <c r="I87" s="11" t="s">
        <v>957</v>
      </c>
      <c r="J87" s="11" t="s">
        <v>132</v>
      </c>
      <c r="K87" s="11" t="s">
        <v>89</v>
      </c>
    </row>
    <row r="88" spans="1:11" ht="36.6" customHeight="1" x14ac:dyDescent="0.3">
      <c r="A88" s="16">
        <v>87</v>
      </c>
      <c r="B88" s="11" t="s">
        <v>958</v>
      </c>
      <c r="C88" s="11" t="s">
        <v>134</v>
      </c>
      <c r="D88" s="13" t="s">
        <v>4</v>
      </c>
      <c r="E88" s="11" t="s">
        <v>10</v>
      </c>
      <c r="F88" s="11" t="s">
        <v>959</v>
      </c>
      <c r="G88" s="11" t="s">
        <v>960</v>
      </c>
      <c r="H88" s="11" t="s">
        <v>959</v>
      </c>
      <c r="I88" s="11" t="s">
        <v>961</v>
      </c>
      <c r="J88" s="11" t="s">
        <v>132</v>
      </c>
      <c r="K88" s="11" t="s">
        <v>89</v>
      </c>
    </row>
    <row r="89" spans="1:11" ht="36.6" customHeight="1" x14ac:dyDescent="0.3">
      <c r="A89" s="16">
        <v>88</v>
      </c>
      <c r="B89" s="11" t="s">
        <v>962</v>
      </c>
      <c r="C89" s="11" t="s">
        <v>963</v>
      </c>
      <c r="D89" s="14" t="s">
        <v>3</v>
      </c>
      <c r="E89" s="11" t="s">
        <v>11</v>
      </c>
      <c r="F89" s="11" t="s">
        <v>964</v>
      </c>
      <c r="G89" s="11" t="s">
        <v>965</v>
      </c>
      <c r="H89" s="11" t="s">
        <v>966</v>
      </c>
      <c r="I89" s="11" t="s">
        <v>967</v>
      </c>
      <c r="J89" s="11" t="s">
        <v>83</v>
      </c>
      <c r="K89" s="11" t="s">
        <v>100</v>
      </c>
    </row>
    <row r="90" spans="1:11" ht="36.6" customHeight="1" x14ac:dyDescent="0.3">
      <c r="A90" s="16">
        <v>89</v>
      </c>
      <c r="B90" s="11" t="s">
        <v>968</v>
      </c>
      <c r="C90" s="11" t="s">
        <v>281</v>
      </c>
      <c r="D90" s="13" t="s">
        <v>4</v>
      </c>
      <c r="E90" s="11" t="s">
        <v>11</v>
      </c>
      <c r="F90" s="11" t="s">
        <v>969</v>
      </c>
      <c r="G90" s="11" t="s">
        <v>970</v>
      </c>
      <c r="H90" s="11" t="s">
        <v>971</v>
      </c>
      <c r="I90" s="11" t="s">
        <v>972</v>
      </c>
      <c r="J90" s="11" t="s">
        <v>83</v>
      </c>
      <c r="K90" s="11" t="s">
        <v>53</v>
      </c>
    </row>
    <row r="91" spans="1:11" ht="36.6" customHeight="1" x14ac:dyDescent="0.3">
      <c r="A91" s="16">
        <v>90</v>
      </c>
      <c r="B91" s="11" t="s">
        <v>973</v>
      </c>
      <c r="C91" s="11" t="s">
        <v>11</v>
      </c>
      <c r="D91" s="13" t="s">
        <v>4</v>
      </c>
      <c r="E91" s="11" t="s">
        <v>11</v>
      </c>
      <c r="F91" s="11" t="s">
        <v>974</v>
      </c>
      <c r="G91" s="11" t="s">
        <v>975</v>
      </c>
      <c r="H91" s="11" t="s">
        <v>177</v>
      </c>
      <c r="I91" s="11" t="s">
        <v>976</v>
      </c>
      <c r="J91" s="11" t="s">
        <v>123</v>
      </c>
      <c r="K91" s="11" t="s">
        <v>89</v>
      </c>
    </row>
    <row r="92" spans="1:11" ht="36.6" customHeight="1" x14ac:dyDescent="0.3">
      <c r="A92" s="16">
        <v>91</v>
      </c>
      <c r="B92" s="11" t="s">
        <v>977</v>
      </c>
      <c r="C92" s="11" t="s">
        <v>158</v>
      </c>
      <c r="D92" s="15" t="s">
        <v>5</v>
      </c>
      <c r="E92" s="11" t="s">
        <v>10</v>
      </c>
      <c r="F92" s="11" t="s">
        <v>275</v>
      </c>
      <c r="G92" s="11" t="s">
        <v>978</v>
      </c>
      <c r="H92" s="11" t="s">
        <v>582</v>
      </c>
      <c r="I92" s="11" t="s">
        <v>979</v>
      </c>
      <c r="J92" s="11" t="s">
        <v>132</v>
      </c>
      <c r="K92" s="11" t="s">
        <v>60</v>
      </c>
    </row>
    <row r="93" spans="1:11" ht="36.6" customHeight="1" x14ac:dyDescent="0.3">
      <c r="A93" s="16">
        <v>92</v>
      </c>
      <c r="B93" s="11" t="s">
        <v>980</v>
      </c>
      <c r="C93" s="11" t="s">
        <v>158</v>
      </c>
      <c r="D93" s="13" t="s">
        <v>4</v>
      </c>
      <c r="E93" s="11" t="s">
        <v>10</v>
      </c>
      <c r="F93" s="11" t="s">
        <v>275</v>
      </c>
      <c r="G93" s="11" t="s">
        <v>981</v>
      </c>
      <c r="H93" s="11" t="s">
        <v>582</v>
      </c>
      <c r="I93" s="11" t="s">
        <v>982</v>
      </c>
      <c r="J93" s="11" t="s">
        <v>132</v>
      </c>
      <c r="K93" s="11" t="s">
        <v>89</v>
      </c>
    </row>
    <row r="94" spans="1:11" ht="36.6" customHeight="1" x14ac:dyDescent="0.3">
      <c r="A94" s="16">
        <v>93</v>
      </c>
      <c r="B94" s="11" t="s">
        <v>983</v>
      </c>
      <c r="C94" s="11" t="s">
        <v>984</v>
      </c>
      <c r="D94" s="13" t="s">
        <v>4</v>
      </c>
      <c r="E94" s="11" t="s">
        <v>10</v>
      </c>
      <c r="F94" s="11" t="s">
        <v>275</v>
      </c>
      <c r="G94" s="11" t="s">
        <v>985</v>
      </c>
      <c r="H94" s="11" t="s">
        <v>582</v>
      </c>
      <c r="I94" s="11" t="s">
        <v>986</v>
      </c>
      <c r="J94" s="11" t="s">
        <v>123</v>
      </c>
      <c r="K94" s="11" t="s">
        <v>89</v>
      </c>
    </row>
    <row r="95" spans="1:11" ht="36.6" customHeight="1" x14ac:dyDescent="0.3">
      <c r="A95" s="16">
        <v>94</v>
      </c>
      <c r="B95" s="11" t="s">
        <v>987</v>
      </c>
      <c r="C95" s="11" t="s">
        <v>988</v>
      </c>
      <c r="D95" s="15" t="s">
        <v>5</v>
      </c>
      <c r="E95" s="11" t="s">
        <v>10</v>
      </c>
      <c r="F95" s="11" t="s">
        <v>275</v>
      </c>
      <c r="G95" s="11" t="s">
        <v>989</v>
      </c>
      <c r="H95" s="11" t="s">
        <v>582</v>
      </c>
      <c r="I95" s="11" t="s">
        <v>990</v>
      </c>
      <c r="J95" s="11" t="s">
        <v>123</v>
      </c>
      <c r="K95" s="11" t="s">
        <v>46</v>
      </c>
    </row>
    <row r="96" spans="1:11" ht="36.6" customHeight="1" x14ac:dyDescent="0.3">
      <c r="A96" s="16">
        <v>95</v>
      </c>
      <c r="B96" s="11" t="s">
        <v>991</v>
      </c>
      <c r="C96" s="11" t="s">
        <v>988</v>
      </c>
      <c r="D96" s="13" t="s">
        <v>4</v>
      </c>
      <c r="E96" s="11" t="s">
        <v>10</v>
      </c>
      <c r="F96" s="11" t="s">
        <v>992</v>
      </c>
      <c r="G96" s="11" t="s">
        <v>993</v>
      </c>
      <c r="H96" s="11" t="s">
        <v>994</v>
      </c>
      <c r="I96" s="11" t="s">
        <v>995</v>
      </c>
      <c r="J96" s="11" t="s">
        <v>123</v>
      </c>
      <c r="K96" s="11" t="s">
        <v>89</v>
      </c>
    </row>
    <row r="97" spans="1:11" ht="36.6" customHeight="1" x14ac:dyDescent="0.3">
      <c r="A97" s="16">
        <v>96</v>
      </c>
      <c r="B97" s="11" t="s">
        <v>996</v>
      </c>
      <c r="C97" s="11" t="s">
        <v>11</v>
      </c>
      <c r="D97" s="13" t="s">
        <v>4</v>
      </c>
      <c r="E97" s="11" t="s">
        <v>10</v>
      </c>
      <c r="F97" s="11" t="s">
        <v>275</v>
      </c>
      <c r="G97" s="11" t="s">
        <v>997</v>
      </c>
      <c r="H97" s="11" t="s">
        <v>998</v>
      </c>
      <c r="I97" s="11" t="s">
        <v>999</v>
      </c>
      <c r="J97" s="11" t="s">
        <v>123</v>
      </c>
      <c r="K97" s="11" t="s">
        <v>89</v>
      </c>
    </row>
    <row r="98" spans="1:11" ht="36.6" customHeight="1" x14ac:dyDescent="0.3">
      <c r="A98" s="16">
        <v>97</v>
      </c>
      <c r="B98" s="11" t="s">
        <v>1000</v>
      </c>
      <c r="C98" s="11" t="s">
        <v>1001</v>
      </c>
      <c r="D98" s="15" t="s">
        <v>5</v>
      </c>
      <c r="E98" s="11" t="s">
        <v>9</v>
      </c>
      <c r="F98" s="11" t="s">
        <v>1002</v>
      </c>
      <c r="G98" s="11" t="s">
        <v>1003</v>
      </c>
      <c r="H98" s="11" t="s">
        <v>582</v>
      </c>
      <c r="I98" s="11" t="s">
        <v>1004</v>
      </c>
      <c r="J98" s="11" t="s">
        <v>79</v>
      </c>
      <c r="K98" s="11" t="s">
        <v>46</v>
      </c>
    </row>
    <row r="99" spans="1:11" ht="36.6" customHeight="1" x14ac:dyDescent="0.3">
      <c r="A99" s="16">
        <v>98</v>
      </c>
      <c r="B99" s="11" t="s">
        <v>1005</v>
      </c>
      <c r="C99" s="11" t="s">
        <v>55</v>
      </c>
      <c r="D99" s="12" t="s">
        <v>6</v>
      </c>
      <c r="E99" s="11" t="s">
        <v>9</v>
      </c>
      <c r="F99" s="11" t="s">
        <v>1006</v>
      </c>
      <c r="G99" s="11" t="s">
        <v>1007</v>
      </c>
      <c r="H99" s="11" t="s">
        <v>1008</v>
      </c>
      <c r="I99" s="11" t="s">
        <v>1009</v>
      </c>
      <c r="J99" s="11" t="s">
        <v>79</v>
      </c>
      <c r="K99" s="11" t="s">
        <v>475</v>
      </c>
    </row>
    <row r="100" spans="1:11" ht="36.6" customHeight="1" x14ac:dyDescent="0.3">
      <c r="A100" s="16">
        <v>99</v>
      </c>
      <c r="B100" s="11" t="s">
        <v>1010</v>
      </c>
      <c r="C100" s="11" t="s">
        <v>430</v>
      </c>
      <c r="D100" s="15" t="s">
        <v>5</v>
      </c>
      <c r="E100" s="11" t="s">
        <v>10</v>
      </c>
      <c r="F100" s="11" t="s">
        <v>1011</v>
      </c>
      <c r="G100" s="11" t="s">
        <v>1012</v>
      </c>
      <c r="H100" s="11" t="s">
        <v>1011</v>
      </c>
      <c r="I100" s="11" t="s">
        <v>1013</v>
      </c>
      <c r="J100" s="11" t="s">
        <v>132</v>
      </c>
      <c r="K100" s="11" t="s">
        <v>60</v>
      </c>
    </row>
    <row r="101" spans="1:11" ht="36.6" customHeight="1" x14ac:dyDescent="0.3">
      <c r="A101" s="16">
        <v>100</v>
      </c>
      <c r="B101" s="11" t="s">
        <v>1014</v>
      </c>
      <c r="C101" s="11" t="s">
        <v>1015</v>
      </c>
      <c r="D101" s="12" t="s">
        <v>6</v>
      </c>
      <c r="E101" s="11" t="s">
        <v>10</v>
      </c>
      <c r="F101" s="11" t="s">
        <v>1016</v>
      </c>
      <c r="G101" s="11" t="s">
        <v>1017</v>
      </c>
      <c r="H101" s="11" t="s">
        <v>1018</v>
      </c>
      <c r="I101" s="11" t="s">
        <v>1019</v>
      </c>
      <c r="J101" s="11" t="s">
        <v>298</v>
      </c>
      <c r="K101" s="11" t="s">
        <v>475</v>
      </c>
    </row>
    <row r="102" spans="1:11" ht="36.6" customHeight="1" x14ac:dyDescent="0.3">
      <c r="A102" s="16">
        <v>101</v>
      </c>
      <c r="B102" s="11" t="s">
        <v>1020</v>
      </c>
      <c r="C102" s="11" t="s">
        <v>134</v>
      </c>
      <c r="D102" s="13" t="s">
        <v>4</v>
      </c>
      <c r="E102" s="11" t="s">
        <v>10</v>
      </c>
      <c r="F102" s="11" t="s">
        <v>1021</v>
      </c>
      <c r="G102" s="11" t="s">
        <v>1022</v>
      </c>
      <c r="H102" s="11" t="s">
        <v>891</v>
      </c>
      <c r="I102" s="11" t="s">
        <v>1023</v>
      </c>
      <c r="J102" s="11" t="s">
        <v>132</v>
      </c>
      <c r="K102" s="11" t="s">
        <v>89</v>
      </c>
    </row>
    <row r="103" spans="1:11" ht="36.6" customHeight="1" x14ac:dyDescent="0.3">
      <c r="A103" s="16">
        <v>102</v>
      </c>
      <c r="B103" s="11" t="s">
        <v>1024</v>
      </c>
      <c r="C103" s="11" t="s">
        <v>134</v>
      </c>
      <c r="D103" s="13" t="s">
        <v>4</v>
      </c>
      <c r="E103" s="11" t="s">
        <v>10</v>
      </c>
      <c r="F103" s="11" t="s">
        <v>691</v>
      </c>
      <c r="G103" s="11" t="s">
        <v>1025</v>
      </c>
      <c r="H103" s="11" t="s">
        <v>691</v>
      </c>
      <c r="I103" s="11" t="s">
        <v>1026</v>
      </c>
      <c r="J103" s="11" t="s">
        <v>132</v>
      </c>
      <c r="K103" s="11" t="s">
        <v>89</v>
      </c>
    </row>
    <row r="104" spans="1:11" ht="36.6" customHeight="1" x14ac:dyDescent="0.3">
      <c r="A104" s="16">
        <v>103</v>
      </c>
      <c r="B104" s="11" t="s">
        <v>1027</v>
      </c>
      <c r="C104" s="11" t="s">
        <v>642</v>
      </c>
      <c r="D104" s="13" t="s">
        <v>4</v>
      </c>
      <c r="E104" s="11" t="s">
        <v>9</v>
      </c>
      <c r="F104" s="11" t="s">
        <v>643</v>
      </c>
      <c r="G104" s="11" t="s">
        <v>1028</v>
      </c>
      <c r="H104" s="11" t="s">
        <v>643</v>
      </c>
      <c r="I104" s="11" t="s">
        <v>1029</v>
      </c>
      <c r="J104" s="11" t="s">
        <v>200</v>
      </c>
      <c r="K104" s="11" t="s">
        <v>46</v>
      </c>
    </row>
    <row r="105" spans="1:11" ht="36.6" customHeight="1" x14ac:dyDescent="0.3">
      <c r="A105" s="16">
        <v>104</v>
      </c>
      <c r="B105" s="11" t="s">
        <v>1030</v>
      </c>
      <c r="C105" s="11" t="s">
        <v>879</v>
      </c>
      <c r="D105" s="15" t="s">
        <v>5</v>
      </c>
      <c r="E105" s="11" t="s">
        <v>9</v>
      </c>
      <c r="F105" s="11" t="s">
        <v>643</v>
      </c>
      <c r="G105" s="11" t="s">
        <v>1031</v>
      </c>
      <c r="H105" s="11" t="s">
        <v>643</v>
      </c>
      <c r="I105" s="11" t="s">
        <v>1032</v>
      </c>
      <c r="J105" s="11" t="s">
        <v>45</v>
      </c>
      <c r="K105" s="11" t="s">
        <v>60</v>
      </c>
    </row>
    <row r="106" spans="1:11" ht="36.6" customHeight="1" x14ac:dyDescent="0.3">
      <c r="A106" s="16">
        <v>105</v>
      </c>
      <c r="B106" s="11" t="s">
        <v>1033</v>
      </c>
      <c r="C106" s="11" t="s">
        <v>879</v>
      </c>
      <c r="D106" s="15" t="s">
        <v>5</v>
      </c>
      <c r="E106" s="11" t="s">
        <v>9</v>
      </c>
      <c r="F106" s="11" t="s">
        <v>643</v>
      </c>
      <c r="G106" s="11" t="s">
        <v>1034</v>
      </c>
      <c r="H106" s="11" t="s">
        <v>643</v>
      </c>
      <c r="I106" s="11" t="s">
        <v>1035</v>
      </c>
      <c r="J106" s="11" t="s">
        <v>45</v>
      </c>
      <c r="K106" s="11" t="s">
        <v>60</v>
      </c>
    </row>
    <row r="107" spans="1:11" ht="36.6" customHeight="1" x14ac:dyDescent="0.3">
      <c r="A107" s="16">
        <v>106</v>
      </c>
      <c r="B107" s="11" t="s">
        <v>1036</v>
      </c>
      <c r="C107" s="11" t="s">
        <v>885</v>
      </c>
      <c r="D107" s="15" t="s">
        <v>5</v>
      </c>
      <c r="E107" s="11" t="s">
        <v>10</v>
      </c>
      <c r="F107" s="11" t="s">
        <v>830</v>
      </c>
      <c r="G107" s="11" t="s">
        <v>1037</v>
      </c>
      <c r="H107" s="11" t="s">
        <v>830</v>
      </c>
      <c r="I107" s="11" t="s">
        <v>1038</v>
      </c>
      <c r="J107" s="11" t="s">
        <v>45</v>
      </c>
      <c r="K107" s="11" t="s">
        <v>60</v>
      </c>
    </row>
    <row r="108" spans="1:11" ht="36.6" customHeight="1" x14ac:dyDescent="0.3">
      <c r="A108" s="16">
        <v>107</v>
      </c>
      <c r="B108" s="11" t="s">
        <v>1039</v>
      </c>
      <c r="C108" s="11" t="s">
        <v>40</v>
      </c>
      <c r="D108" s="13" t="s">
        <v>4</v>
      </c>
      <c r="E108" s="11" t="s">
        <v>9</v>
      </c>
      <c r="F108" s="11" t="s">
        <v>610</v>
      </c>
      <c r="G108" s="11" t="s">
        <v>1040</v>
      </c>
      <c r="H108" s="11" t="s">
        <v>612</v>
      </c>
      <c r="I108" s="11" t="s">
        <v>1041</v>
      </c>
      <c r="J108" s="11" t="s">
        <v>45</v>
      </c>
      <c r="K108" s="11" t="s">
        <v>46</v>
      </c>
    </row>
    <row r="109" spans="1:11" ht="36.6" customHeight="1" x14ac:dyDescent="0.3">
      <c r="A109" s="16">
        <v>108</v>
      </c>
      <c r="B109" s="11" t="s">
        <v>1042</v>
      </c>
      <c r="C109" s="11" t="s">
        <v>879</v>
      </c>
      <c r="D109" s="15" t="s">
        <v>5</v>
      </c>
      <c r="E109" s="11" t="s">
        <v>9</v>
      </c>
      <c r="F109" s="11" t="s">
        <v>1043</v>
      </c>
      <c r="G109" s="11" t="s">
        <v>1044</v>
      </c>
      <c r="H109" s="11" t="s">
        <v>783</v>
      </c>
      <c r="I109" s="11" t="s">
        <v>1045</v>
      </c>
      <c r="J109" s="11" t="s">
        <v>45</v>
      </c>
      <c r="K109" s="11" t="s">
        <v>60</v>
      </c>
    </row>
    <row r="110" spans="1:11" ht="36.6" customHeight="1" x14ac:dyDescent="0.3">
      <c r="A110" s="16">
        <v>109</v>
      </c>
      <c r="B110" s="11" t="s">
        <v>1046</v>
      </c>
      <c r="C110" s="11" t="s">
        <v>152</v>
      </c>
      <c r="D110" s="14" t="s">
        <v>3</v>
      </c>
      <c r="E110" s="11" t="s">
        <v>10</v>
      </c>
      <c r="F110" s="11" t="s">
        <v>700</v>
      </c>
      <c r="G110" s="11" t="s">
        <v>1047</v>
      </c>
      <c r="H110" s="11" t="s">
        <v>1048</v>
      </c>
      <c r="I110" s="11" t="s">
        <v>1049</v>
      </c>
      <c r="J110" s="11" t="s">
        <v>132</v>
      </c>
      <c r="K110" s="11" t="s">
        <v>53</v>
      </c>
    </row>
    <row r="111" spans="1:11" ht="36.6" customHeight="1" x14ac:dyDescent="0.3">
      <c r="A111" s="16">
        <v>110</v>
      </c>
      <c r="B111" s="11" t="s">
        <v>1050</v>
      </c>
      <c r="C111" s="11" t="s">
        <v>885</v>
      </c>
      <c r="D111" s="13" t="s">
        <v>4</v>
      </c>
      <c r="E111" s="11" t="s">
        <v>10</v>
      </c>
      <c r="F111" s="11" t="s">
        <v>1051</v>
      </c>
      <c r="G111" s="11" t="s">
        <v>1052</v>
      </c>
      <c r="H111" s="11" t="s">
        <v>1051</v>
      </c>
      <c r="I111" s="11" t="s">
        <v>1053</v>
      </c>
      <c r="J111" s="11" t="s">
        <v>45</v>
      </c>
      <c r="K111" s="11" t="s">
        <v>46</v>
      </c>
    </row>
    <row r="112" spans="1:11" ht="36.6" customHeight="1" x14ac:dyDescent="0.3">
      <c r="A112" s="16">
        <v>111</v>
      </c>
      <c r="B112" s="11" t="s">
        <v>1054</v>
      </c>
      <c r="C112" s="11" t="s">
        <v>657</v>
      </c>
      <c r="D112" s="13" t="s">
        <v>4</v>
      </c>
      <c r="E112" s="11" t="s">
        <v>127</v>
      </c>
      <c r="F112" s="11" t="s">
        <v>1055</v>
      </c>
      <c r="G112" s="11" t="s">
        <v>1056</v>
      </c>
      <c r="H112" s="11" t="s">
        <v>1057</v>
      </c>
      <c r="I112" s="11" t="s">
        <v>1058</v>
      </c>
      <c r="J112" s="11" t="s">
        <v>132</v>
      </c>
      <c r="K112" s="11" t="s">
        <v>89</v>
      </c>
    </row>
    <row r="113" spans="1:11" ht="36.6" customHeight="1" x14ac:dyDescent="0.3">
      <c r="A113" s="16">
        <v>112</v>
      </c>
      <c r="B113" s="11" t="s">
        <v>1059</v>
      </c>
      <c r="C113" s="11" t="s">
        <v>134</v>
      </c>
      <c r="D113" s="14" t="s">
        <v>3</v>
      </c>
      <c r="E113" s="11" t="s">
        <v>10</v>
      </c>
      <c r="F113" s="11" t="s">
        <v>682</v>
      </c>
      <c r="G113" s="11" t="s">
        <v>1060</v>
      </c>
      <c r="H113" s="11" t="s">
        <v>684</v>
      </c>
      <c r="I113" s="11" t="s">
        <v>1061</v>
      </c>
      <c r="J113" s="11" t="s">
        <v>132</v>
      </c>
      <c r="K113" s="11" t="s">
        <v>53</v>
      </c>
    </row>
    <row r="114" spans="1:11" ht="36.6" customHeight="1" x14ac:dyDescent="0.3">
      <c r="A114" s="16">
        <v>113</v>
      </c>
      <c r="B114" s="11" t="s">
        <v>1062</v>
      </c>
      <c r="C114" s="11" t="s">
        <v>158</v>
      </c>
      <c r="D114" s="13" t="s">
        <v>4</v>
      </c>
      <c r="E114" s="11" t="s">
        <v>10</v>
      </c>
      <c r="F114" s="11" t="s">
        <v>275</v>
      </c>
      <c r="G114" s="11" t="s">
        <v>1063</v>
      </c>
      <c r="H114" s="11" t="s">
        <v>275</v>
      </c>
      <c r="I114" s="11" t="s">
        <v>1064</v>
      </c>
      <c r="J114" s="11" t="s">
        <v>132</v>
      </c>
      <c r="K114" s="11" t="s">
        <v>46</v>
      </c>
    </row>
    <row r="115" spans="1:11" ht="36.6" customHeight="1" x14ac:dyDescent="0.3">
      <c r="A115" s="16">
        <v>114</v>
      </c>
      <c r="B115" s="11" t="s">
        <v>1065</v>
      </c>
      <c r="C115" s="11" t="s">
        <v>11</v>
      </c>
      <c r="D115" s="13" t="s">
        <v>4</v>
      </c>
      <c r="E115" s="11" t="s">
        <v>11</v>
      </c>
      <c r="F115" s="11" t="s">
        <v>1066</v>
      </c>
      <c r="G115" s="11" t="s">
        <v>1067</v>
      </c>
      <c r="H115" s="11" t="s">
        <v>1066</v>
      </c>
      <c r="I115" s="11" t="s">
        <v>1068</v>
      </c>
      <c r="J115" s="11" t="s">
        <v>123</v>
      </c>
      <c r="K115" s="11" t="s">
        <v>89</v>
      </c>
    </row>
    <row r="116" spans="1:11" ht="36.6" customHeight="1" x14ac:dyDescent="0.3">
      <c r="A116" s="16">
        <v>115</v>
      </c>
      <c r="B116" s="11" t="s">
        <v>1069</v>
      </c>
      <c r="C116" s="11" t="s">
        <v>317</v>
      </c>
      <c r="D116" s="14" t="s">
        <v>3</v>
      </c>
      <c r="E116" s="11" t="s">
        <v>12</v>
      </c>
      <c r="F116" s="11" t="s">
        <v>1070</v>
      </c>
      <c r="G116" s="11" t="s">
        <v>1071</v>
      </c>
      <c r="H116" s="11" t="s">
        <v>1072</v>
      </c>
      <c r="I116" s="11" t="s">
        <v>1073</v>
      </c>
      <c r="J116" s="11" t="s">
        <v>286</v>
      </c>
      <c r="K116" s="11" t="s">
        <v>100</v>
      </c>
    </row>
    <row r="117" spans="1:11" ht="36.6" customHeight="1" x14ac:dyDescent="0.3">
      <c r="A117" s="16">
        <v>116</v>
      </c>
      <c r="B117" s="11" t="s">
        <v>1074</v>
      </c>
      <c r="C117" s="11" t="s">
        <v>11</v>
      </c>
      <c r="D117" s="14" t="s">
        <v>3</v>
      </c>
      <c r="E117" s="11" t="s">
        <v>11</v>
      </c>
      <c r="F117" s="11" t="s">
        <v>1075</v>
      </c>
      <c r="G117" s="11" t="s">
        <v>1076</v>
      </c>
      <c r="H117" s="11" t="s">
        <v>733</v>
      </c>
      <c r="I117" s="11" t="s">
        <v>1077</v>
      </c>
      <c r="J117" s="11" t="s">
        <v>123</v>
      </c>
      <c r="K117" s="11" t="s">
        <v>124</v>
      </c>
    </row>
    <row r="118" spans="1:11" ht="36.6" customHeight="1" x14ac:dyDescent="0.3">
      <c r="A118" s="16">
        <v>117</v>
      </c>
      <c r="B118" s="11" t="s">
        <v>1078</v>
      </c>
      <c r="C118" s="11" t="s">
        <v>317</v>
      </c>
      <c r="D118" s="13" t="s">
        <v>4</v>
      </c>
      <c r="E118" s="11" t="s">
        <v>12</v>
      </c>
      <c r="F118" s="11" t="s">
        <v>1079</v>
      </c>
      <c r="G118" s="11" t="s">
        <v>1080</v>
      </c>
      <c r="H118" s="11" t="s">
        <v>167</v>
      </c>
      <c r="I118" s="11" t="s">
        <v>1081</v>
      </c>
      <c r="J118" s="11" t="s">
        <v>286</v>
      </c>
      <c r="K118" s="11" t="s">
        <v>299</v>
      </c>
    </row>
    <row r="119" spans="1:11" ht="36.6" customHeight="1" x14ac:dyDescent="0.3">
      <c r="A119" s="16">
        <v>118</v>
      </c>
      <c r="B119" s="11" t="s">
        <v>1082</v>
      </c>
      <c r="C119" s="11" t="s">
        <v>164</v>
      </c>
      <c r="D119" s="13" t="s">
        <v>4</v>
      </c>
      <c r="E119" s="11" t="s">
        <v>10</v>
      </c>
      <c r="F119" s="11" t="s">
        <v>838</v>
      </c>
      <c r="G119" s="11" t="s">
        <v>1083</v>
      </c>
      <c r="H119" s="11" t="s">
        <v>840</v>
      </c>
      <c r="I119" s="11" t="s">
        <v>1084</v>
      </c>
      <c r="J119" s="11" t="s">
        <v>67</v>
      </c>
      <c r="K119" s="11" t="s">
        <v>89</v>
      </c>
    </row>
    <row r="120" spans="1:11" ht="36.6" customHeight="1" x14ac:dyDescent="0.3">
      <c r="A120" s="16">
        <v>119</v>
      </c>
      <c r="B120" s="11" t="s">
        <v>1085</v>
      </c>
      <c r="C120" s="11" t="s">
        <v>292</v>
      </c>
      <c r="D120" s="13" t="s">
        <v>4</v>
      </c>
      <c r="E120" s="11" t="s">
        <v>11</v>
      </c>
      <c r="F120" s="11" t="s">
        <v>172</v>
      </c>
      <c r="G120" s="11" t="s">
        <v>1086</v>
      </c>
      <c r="H120" s="11" t="s">
        <v>172</v>
      </c>
      <c r="I120" s="11" t="s">
        <v>1087</v>
      </c>
      <c r="J120" s="11" t="s">
        <v>298</v>
      </c>
      <c r="K120" s="11" t="s">
        <v>89</v>
      </c>
    </row>
    <row r="121" spans="1:11" ht="36.6" customHeight="1" x14ac:dyDescent="0.3">
      <c r="A121" s="16">
        <v>120</v>
      </c>
      <c r="B121" s="11" t="s">
        <v>1088</v>
      </c>
      <c r="C121" s="11" t="s">
        <v>62</v>
      </c>
      <c r="D121" s="14" t="s">
        <v>3</v>
      </c>
      <c r="E121" s="11" t="s">
        <v>10</v>
      </c>
      <c r="F121" s="11" t="s">
        <v>679</v>
      </c>
      <c r="G121" s="11" t="s">
        <v>1089</v>
      </c>
      <c r="H121" s="11" t="s">
        <v>679</v>
      </c>
      <c r="I121" s="11" t="s">
        <v>1090</v>
      </c>
      <c r="J121" s="11" t="s">
        <v>132</v>
      </c>
      <c r="K121" s="11" t="s">
        <v>53</v>
      </c>
    </row>
    <row r="122" spans="1:11" ht="36.6" customHeight="1" x14ac:dyDescent="0.3">
      <c r="A122" s="16">
        <v>121</v>
      </c>
      <c r="B122" s="11" t="s">
        <v>1091</v>
      </c>
      <c r="C122" s="11" t="s">
        <v>134</v>
      </c>
      <c r="D122" s="15" t="s">
        <v>5</v>
      </c>
      <c r="E122" s="11" t="s">
        <v>10</v>
      </c>
      <c r="F122" s="11" t="s">
        <v>695</v>
      </c>
      <c r="G122" s="11" t="s">
        <v>1092</v>
      </c>
      <c r="H122" s="11" t="s">
        <v>1093</v>
      </c>
      <c r="I122" s="11" t="s">
        <v>1094</v>
      </c>
      <c r="J122" s="11" t="s">
        <v>132</v>
      </c>
      <c r="K122" s="11" t="s">
        <v>46</v>
      </c>
    </row>
    <row r="123" spans="1:11" ht="36.6" customHeight="1" x14ac:dyDescent="0.3">
      <c r="A123" s="16">
        <v>122</v>
      </c>
      <c r="B123" s="11" t="s">
        <v>1095</v>
      </c>
      <c r="C123" s="11" t="s">
        <v>134</v>
      </c>
      <c r="D123" s="13" t="s">
        <v>4</v>
      </c>
      <c r="E123" s="11" t="s">
        <v>10</v>
      </c>
      <c r="F123" s="11" t="s">
        <v>1021</v>
      </c>
      <c r="G123" s="11" t="s">
        <v>1096</v>
      </c>
      <c r="H123" s="11" t="s">
        <v>697</v>
      </c>
      <c r="I123" s="11" t="s">
        <v>1097</v>
      </c>
      <c r="J123" s="11" t="s">
        <v>132</v>
      </c>
      <c r="K123" s="11" t="s">
        <v>89</v>
      </c>
    </row>
    <row r="124" spans="1:11" ht="36.6" customHeight="1" x14ac:dyDescent="0.3">
      <c r="A124" s="16">
        <v>123</v>
      </c>
      <c r="B124" s="11" t="s">
        <v>1098</v>
      </c>
      <c r="C124" s="11" t="s">
        <v>158</v>
      </c>
      <c r="D124" s="15" t="s">
        <v>5</v>
      </c>
      <c r="E124" s="11" t="s">
        <v>10</v>
      </c>
      <c r="F124" s="11" t="s">
        <v>705</v>
      </c>
      <c r="G124" s="11" t="s">
        <v>1099</v>
      </c>
      <c r="H124" s="11" t="s">
        <v>705</v>
      </c>
      <c r="I124" s="11" t="s">
        <v>1100</v>
      </c>
      <c r="J124" s="11" t="s">
        <v>132</v>
      </c>
      <c r="K124" s="11" t="s">
        <v>60</v>
      </c>
    </row>
    <row r="125" spans="1:11" ht="36.6" customHeight="1" x14ac:dyDescent="0.3">
      <c r="A125" s="16">
        <v>124</v>
      </c>
      <c r="B125" s="11" t="s">
        <v>1101</v>
      </c>
      <c r="C125" s="11" t="s">
        <v>430</v>
      </c>
      <c r="D125" s="14" t="s">
        <v>3</v>
      </c>
      <c r="E125" s="11" t="s">
        <v>10</v>
      </c>
      <c r="F125" s="11" t="s">
        <v>1102</v>
      </c>
      <c r="G125" s="11" t="s">
        <v>1103</v>
      </c>
      <c r="H125" s="11" t="s">
        <v>752</v>
      </c>
      <c r="I125" s="11" t="s">
        <v>1104</v>
      </c>
      <c r="J125" s="11" t="s">
        <v>132</v>
      </c>
      <c r="K125" s="11" t="s">
        <v>53</v>
      </c>
    </row>
    <row r="126" spans="1:11" ht="36.6" customHeight="1" x14ac:dyDescent="0.3">
      <c r="A126" s="16">
        <v>125</v>
      </c>
      <c r="B126" s="11" t="s">
        <v>1105</v>
      </c>
      <c r="C126" s="11" t="s">
        <v>430</v>
      </c>
      <c r="D126" s="15" t="s">
        <v>5</v>
      </c>
      <c r="E126" s="11" t="s">
        <v>10</v>
      </c>
      <c r="F126" s="11" t="s">
        <v>1106</v>
      </c>
      <c r="G126" s="11" t="s">
        <v>1107</v>
      </c>
      <c r="H126" s="11" t="s">
        <v>1106</v>
      </c>
      <c r="I126" s="11" t="s">
        <v>1108</v>
      </c>
      <c r="J126" s="11" t="s">
        <v>132</v>
      </c>
      <c r="K126" s="11" t="s">
        <v>46</v>
      </c>
    </row>
    <row r="127" spans="1:11" ht="36.6" customHeight="1" x14ac:dyDescent="0.3">
      <c r="A127" s="16">
        <v>126</v>
      </c>
      <c r="B127" s="11" t="s">
        <v>1109</v>
      </c>
      <c r="C127" s="11" t="s">
        <v>11</v>
      </c>
      <c r="D127" s="15" t="s">
        <v>5</v>
      </c>
      <c r="E127" s="11" t="s">
        <v>11</v>
      </c>
      <c r="F127" s="11" t="s">
        <v>1110</v>
      </c>
      <c r="G127" s="11" t="s">
        <v>1111</v>
      </c>
      <c r="H127" s="11" t="s">
        <v>1112</v>
      </c>
      <c r="I127" s="11" t="s">
        <v>1113</v>
      </c>
      <c r="J127" s="11" t="s">
        <v>123</v>
      </c>
      <c r="K127" s="11" t="s">
        <v>46</v>
      </c>
    </row>
    <row r="128" spans="1:11" ht="36.6" customHeight="1" x14ac:dyDescent="0.3">
      <c r="A128" s="16">
        <v>127</v>
      </c>
      <c r="B128" s="11" t="s">
        <v>1114</v>
      </c>
      <c r="C128" s="11" t="s">
        <v>11</v>
      </c>
      <c r="D128" s="13" t="s">
        <v>4</v>
      </c>
      <c r="E128" s="11" t="s">
        <v>11</v>
      </c>
      <c r="F128" s="11" t="s">
        <v>1115</v>
      </c>
      <c r="G128" s="11" t="s">
        <v>1116</v>
      </c>
      <c r="H128" s="11" t="s">
        <v>232</v>
      </c>
      <c r="I128" s="11" t="s">
        <v>1117</v>
      </c>
      <c r="J128" s="11" t="s">
        <v>123</v>
      </c>
      <c r="K128" s="1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Android</vt:lpstr>
      <vt:lpstr>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Pranshu Tiwari | Ampcus Cyber</cp:lastModifiedBy>
  <cp:revision>0</cp:revision>
  <dcterms:created xsi:type="dcterms:W3CDTF">2025-11-09T17:54:23Z</dcterms:created>
  <dcterms:modified xsi:type="dcterms:W3CDTF">2025-11-09T18:06:52Z</dcterms:modified>
  <dc:language>en-US</dc:language>
</cp:coreProperties>
</file>